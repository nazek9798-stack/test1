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Pivot Table 4" sheetId="2" r:id="rId6"/>
    <sheet state="visible" name="Лист2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<sst xmlns="http://schemas.openxmlformats.org/spreadsheetml/2006/main" count="1079" uniqueCount="30">
  <si>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</si>
  <si>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</si>
  <si>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</si>
  <si>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</si>
  <si>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</si>
  <si>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</si>
  <si>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</si>
  <si>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</si>
  <si>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</si>
  <si>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</si>
  <si>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</si>
  <si>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</si>
  <si>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</si>
  <si>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</si>
  <si>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</si>
  <si>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</si>
  <si>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</si>
  <si>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</si>
  <si>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</si>
  <si>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</si>
  <si>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</si>
  <si>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</si>
  <si>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</si>
  <si>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</si>
  <si>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</si>
  <si>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</si>
  <si>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</si>
  <si>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Values</t>
  </si>
  <si>
    <t>SUM of Товарооборот на склад</t>
  </si>
  <si>
    <t>SUM of Товарооборот, руб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</si>
</sst>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3" fontId="2" numFmtId="164" xfId="0" applyBorder="1" applyFill="1" applyFont="1" applyNumberFormat="1"/>
    <xf borderId="2" fillId="3" fontId="2" numFmtId="0" xfId="0" applyBorder="1" applyFont="1"/>
    <xf borderId="0" fillId="0" fontId="3" numFmtId="0" xfId="0" applyFont="1"/>
    <xf borderId="0" fillId="0" fontId="4" numFmtId="0" xfId="0" applyFont="1"/>
    <xf borderId="4" fillId="0" fontId="2" numFmtId="164" xfId="0" applyBorder="1" applyFont="1" applyNumberFormat="1"/>
    <xf borderId="5" fillId="0" fontId="2" numFmtId="0" xfId="0" applyBorder="1" applyFont="1"/>
    <xf borderId="6" fillId="0" fontId="2" numFmtId="164" xfId="0" applyBorder="1" applyFont="1" applyNumberFormat="1"/>
    <xf borderId="7" fillId="0" fontId="2" numFmtId="0" xfId="0" applyBorder="1" applyFont="1"/>
    <xf borderId="0" fillId="0" fontId="4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'Pivot Table 4'!$A$2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4'!$B$1:$AM$1</c:f>
            </c:strRef>
          </c:cat>
          <c:val>
            <c:numRef>
              <c:f>'Pivot Table 4'!$B$2:$AM$2</c:f>
              <c:numCache/>
            </c:numRef>
          </c:val>
        </c:ser>
        <c:axId val="2096607505"/>
        <c:axId val="1338258493"/>
      </c:barChart>
      <c:lineChart>
        <c:ser>
          <c:idx val="1"/>
          <c:order val="1"/>
          <c:tx>
            <c:strRef>
              <c:f>'Pivot Table 4'!$A$3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'Pivot Table 4'!$B$1:$AM$1</c:f>
            </c:strRef>
          </c:cat>
          <c:val>
            <c:numRef>
              <c:f>'Pivot Table 4'!$B$3:$AM$3</c:f>
              <c:numCache/>
            </c:numRef>
          </c:val>
          <c:smooth val="0"/>
        </c:ser>
        <c:ser>
          <c:idx val="2"/>
          <c:order val="2"/>
          <c:tx>
            <c:strRef>
              <c:f>'Pivot Table 4'!$A$4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'Pivot Table 4'!$B$1:$AM$1</c:f>
            </c:strRef>
          </c:cat>
          <c:val>
            <c:numRef>
              <c:f>'Pivot Table 4'!$B$4:$AM$4</c:f>
              <c:numCache/>
            </c:numRef>
          </c:val>
          <c:smooth val="0"/>
        </c:ser>
        <c:ser>
          <c:idx val="3"/>
          <c:order val="3"/>
          <c:tx>
            <c:strRef>
              <c:f>'Pivot Table 4'!$A$5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'Pivot Table 4'!$B$1:$AM$1</c:f>
            </c:strRef>
          </c:cat>
          <c:val>
            <c:numRef>
              <c:f>'Pivot Table 4'!$B$5:$AM$5</c:f>
              <c:numCache/>
            </c:numRef>
          </c:val>
          <c:smooth val="0"/>
        </c:ser>
        <c:ser>
          <c:idx val="4"/>
          <c:order val="4"/>
          <c:tx>
            <c:strRef>
              <c:f>'Pivot Table 4'!$A$6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'Pivot Table 4'!$B$1:$AM$1</c:f>
            </c:strRef>
          </c:cat>
          <c:val>
            <c:numRef>
              <c:f>'Pivot Table 4'!$B$6:$AM$6</c:f>
              <c:numCache/>
            </c:numRef>
          </c:val>
          <c:smooth val="0"/>
        </c:ser>
        <c:ser>
          <c:idx val="5"/>
          <c:order val="5"/>
          <c:tx>
            <c:strRef>
              <c:f>'Pivot Table 4'!$A$7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'Pivot Table 4'!$B$1:$AM$1</c:f>
            </c:strRef>
          </c:cat>
          <c:val>
            <c:numRef>
              <c:f>'Pivot Table 4'!$B$7:$AM$7</c:f>
              <c:numCache/>
            </c:numRef>
          </c:val>
          <c:smooth val="0"/>
        </c:ser>
        <c:axId val="2096607505"/>
        <c:axId val="1338258493"/>
      </c:lineChart>
      <c:catAx>
        <c:axId val="2096607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258493"/>
      </c:catAx>
      <c:valAx>
        <c:axId val="13382584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607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552450</xdr:colOff>
      <xdr:row>12</xdr:row>
      <xdr:rowOff>57150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505" sheet="Лист1"/>
  </cacheSource>
  <cacheFields>
    <cacheField name="Дата" numFmtId="164">
      <sharedItems containsSemiMixedTypes="0" containsDate="1" containsString="0">
        <d v="2020-05-31T00:00:00Z"/>
        <d v="2020-05-30T00:00:00Z"/>
        <d v="2020-05-28T00:00:00Z"/>
        <d v="2020-05-16T00:00:00Z"/>
        <d v="2020-05-19T00:00:00Z"/>
        <d v="2020-05-17T00:00:00Z"/>
        <d v="2020-05-09T00:00:00Z"/>
        <d v="2020-05-04T00:00:00Z"/>
        <d v="2020-04-29T00:00:00Z"/>
        <d v="2020-05-02T00:00:00Z"/>
        <d v="2020-05-26T00:00:00Z"/>
        <d v="2020-05-01T00:00:00Z"/>
        <d v="2020-05-12T00:00:00Z"/>
        <d v="2020-05-21T00:00:00Z"/>
        <d v="2020-05-20T00:00:00Z"/>
        <d v="2020-05-05T00:00:00Z"/>
        <d v="2020-04-28T00:00:00Z"/>
        <d v="2020-05-13T00:00:00Z"/>
        <d v="2020-05-03T00:00:00Z"/>
        <d v="2020-05-06T00:00:00Z"/>
        <d v="2020-05-23T00:00:00Z"/>
        <d v="2020-05-25T00:00:00Z"/>
        <d v="2020-04-30T00:00:00Z"/>
        <d v="2020-05-10T00:00:00Z"/>
        <d v="2020-05-08T00:00:00Z"/>
        <d v="2020-05-07T00:00:00Z"/>
        <d v="2020-05-24T00:00:00Z"/>
        <d v="2020-06-01T00:00:00Z"/>
        <d v="2020-05-29T00:00:00Z"/>
        <d v="2020-05-27T00:00:00Z"/>
        <d v="2020-05-22T00:00:00Z"/>
        <d v="2020-05-11T00:00:00Z"/>
        <d v="2020-05-18T00:00:00Z"/>
        <d v="2020-05-14T00:00:00Z"/>
        <d v="2020-05-15T00:00:00Z"/>
      </sharedItems>
    </cacheField>
    <cacheField name="Территория" numFmtId="0">
      <sharedItems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>
        <n v="7944.0"/>
        <n v="10029.0"/>
        <n v="8536.5"/>
        <n v="38947.5"/>
        <n v="31842.0"/>
        <n v="32023.5"/>
        <n v="31147.5"/>
        <n v="25566.0"/>
        <n v="29319.0"/>
        <n v="29031.0"/>
        <n v="33423.0"/>
        <n v="32487.0"/>
        <n v="28219.5"/>
        <n v="31272.0"/>
        <n v="34077.0"/>
        <n v="31566.0"/>
        <n v="26940.0"/>
        <n v="29241.0"/>
        <n v="26082.0"/>
        <n v="32511.0"/>
        <n v="42703.5"/>
        <n v="35592.0"/>
        <n v="30445.5"/>
        <n v="36619.5"/>
        <n v="29409.0"/>
        <n v="27018.0"/>
        <n v="34303.5"/>
        <n v="36999.0"/>
        <n v="44001.0"/>
        <n v="30982.5"/>
        <n v="88063.5"/>
        <n v="84024.0"/>
        <n v="78057.0"/>
        <n v="69720.0"/>
        <n v="72928.5"/>
        <n v="79527.0"/>
        <n v="60463.5"/>
        <n v="79975.5"/>
        <n v="97534.5"/>
        <n v="71520.0"/>
        <n v="79485.0"/>
        <n v="93313.5"/>
        <n v="76585.5"/>
        <n v="81826.5"/>
        <n v="78846.0"/>
        <n v="77263.5"/>
        <n v="68994.0"/>
        <n v="102889.5"/>
        <n v="76999.5"/>
        <n v="77565.0"/>
        <n v="84132.0"/>
        <n v="69544.5"/>
        <n v="73204.5"/>
        <n v="76663.5"/>
        <n v="14265.0"/>
        <n v="11526.0"/>
        <n v="10402.5"/>
        <n v="13216.5"/>
        <n v="9130.5"/>
        <n v="10840.5"/>
        <n v="7866.0"/>
        <n v="11835.0"/>
        <n v="11619.0"/>
        <n v="9328.5"/>
        <n v="11250.0"/>
        <n v="13063.5"/>
        <n v="10147.5"/>
        <n v="12331.5"/>
        <n v="11202.0"/>
        <n v="89149.5"/>
        <n v="8185.5"/>
        <n v="108123.0"/>
        <n v="9210.0"/>
        <n v="14773.5"/>
        <n v="78141.0"/>
        <n v="12280.5"/>
        <n v="8934.0"/>
        <n v="12918.0"/>
        <n v="12528.0"/>
        <n v="11029.5"/>
        <n v="9994.5"/>
        <n v="12724.5"/>
        <n v="14728.5"/>
        <n v="13038.0"/>
        <n v="35482.5"/>
        <n v="32434.5"/>
        <n v="30486.0"/>
        <n v="32079.0"/>
        <n v="27072.0"/>
        <n v="25917.0"/>
        <n v="19461.0"/>
        <n v="31407.0"/>
        <n v="25792.5"/>
        <n v="26032.5"/>
        <n v="31707.0"/>
        <n v="29955.0"/>
        <n v="22848.0"/>
        <n v="23314.5"/>
        <n v="26464.5"/>
        <n v="23539.5"/>
        <n v="24678.0"/>
        <n v="38176.5"/>
        <n v="30603.0"/>
        <n v="24211.5"/>
        <n v="31399.5"/>
        <n v="25294.5"/>
        <n v="25468.5"/>
        <n v="31854.0"/>
        <n v="32359.5"/>
        <n v="39867.0"/>
        <n v="31974.0"/>
        <n v="321412.5"/>
        <n v="276568.5"/>
        <n v="269029.5"/>
        <n v="285972.0"/>
        <n v="283942.5"/>
        <n v="298059.0"/>
        <n v="232903.5"/>
        <n v="276966.0"/>
        <n v="296149.5"/>
        <n v="281796.0"/>
        <n v="288936.0"/>
        <n v="300151.5"/>
        <n v="262734.0"/>
        <n v="286002.0"/>
        <n v="258459.0"/>
        <n v="274083.0"/>
        <n v="277512.0"/>
        <n v="356982.0"/>
        <n v="266983.5"/>
        <n v="311131.5"/>
        <n v="287206.5"/>
        <n v="370092.0"/>
        <n v="247813.5"/>
        <n v="287740.5"/>
        <n v="408810.0"/>
        <n v="362536.5"/>
        <n v="357072.0"/>
        <n v="359214.0"/>
        <n v="360255.0"/>
        <n v="387220.5"/>
        <n v="296580.0"/>
        <n v="369861.0"/>
        <n v="372504.0"/>
        <n v="373392.0"/>
        <n v="378043.5"/>
        <n v="388668.0"/>
        <n v="333792.0"/>
        <n v="376060.5"/>
        <n v="350068.5"/>
        <n v="294337.5"/>
        <n v="342666.0"/>
        <n v="364882.5"/>
        <n v="355278.0"/>
        <n v="456885.0"/>
        <n v="278491.5"/>
        <n v="349734.0"/>
        <n v="401580.0"/>
        <n v="368649.0"/>
        <n v="463530.0"/>
        <n v="319110.0"/>
        <n v="375744.0"/>
        <n v="81331.5"/>
        <n v="75796.5"/>
        <n v="72861.0"/>
        <n v="83373.0"/>
        <n v="64108.5"/>
        <n v="74707.5"/>
        <n v="46216.5"/>
        <n v="67726.5"/>
        <n v="82228.5"/>
        <n v="64390.5"/>
        <n v="73126.5"/>
        <n v="99631.5"/>
        <n v="66396.0"/>
        <n v="73147.5"/>
        <n v="73062.0"/>
        <n v="379663.5"/>
        <n v="70581.0"/>
        <n v="453123.0"/>
        <n v="63012.0"/>
        <n v="89556.0"/>
        <n v="364638.0"/>
        <n v="66316.5"/>
        <n v="78235.5"/>
        <n v="88311.0"/>
        <n v="61804.5"/>
        <n v="71067.0"/>
        <n v="74649.0"/>
        <n v="44560.5"/>
        <n v="38250.0"/>
        <n v="34830.0"/>
        <n v="32239.5"/>
        <n v="30780.0"/>
        <n v="29142.0"/>
        <n v="26428.5"/>
        <n v="40744.5"/>
        <n v="46620.0"/>
        <n v="32419.5"/>
        <n v="40819.5"/>
        <n v="41391.0"/>
        <n v="29482.5"/>
        <n v="32181.0"/>
        <n v="35535.0"/>
        <n v="76234.5"/>
        <n v="29935.5"/>
        <n v="106926.0"/>
        <n v="30342.0"/>
        <n v="42999.0"/>
        <n v="69945.0"/>
        <n v="38740.5"/>
        <n v="31231.5"/>
        <n v="37489.5"/>
        <n v="34399.5"/>
        <n v="32851.5"/>
        <n v="38194.5"/>
        <n v="42423.0"/>
        <n v="48286.5"/>
        <n v="41442.0"/>
        <n v="18600.0"/>
        <n v="16638.0"/>
        <n v="15609.0"/>
        <n v="13948.5"/>
        <n v="12301.5"/>
        <n v="13014.0"/>
        <n v="12313.5"/>
        <n v="17391.0"/>
        <n v="17113.5"/>
        <n v="12802.5"/>
        <n v="16554.0"/>
        <n v="17329.5"/>
        <n v="15987.0"/>
        <n v="13303.5"/>
        <n v="14305.5"/>
        <n v="12924.0"/>
        <n v="14061.0"/>
        <n v="21958.5"/>
        <n v="17211.0"/>
        <n v="12753.0"/>
        <n v="16435.5"/>
        <n v="14494.5"/>
        <n v="12705.0"/>
        <n v="18075.0"/>
        <n v="13120.5"/>
        <n v="16237.5"/>
        <n v="11967.0"/>
        <n v="12037.5"/>
        <n v="7087.5"/>
        <n v="25816.5"/>
        <n v="4624.5"/>
        <n v="12259.5"/>
        <n v="5446.5"/>
        <n v="11296.5"/>
        <n v="12135.0"/>
        <n v="12630.0"/>
        <n v="8223.0"/>
        <n v="25149.0"/>
        <n v="10401.0"/>
        <n v="17689.5"/>
        <n v="8127.0"/>
        <n v="27250.5"/>
        <n v="8464.5"/>
        <n v="14167.5"/>
        <n v="16500.0"/>
        <n v="13260.0"/>
        <n v="4285.5"/>
        <n v="13440.0"/>
        <n v="9058.5"/>
        <n v="8719.5"/>
        <n v="12666.0"/>
        <n v="34563.0"/>
        <n v="28882.5"/>
        <n v="28275.0"/>
        <n v="26271.0"/>
        <n v="23587.5"/>
        <n v="18427.5"/>
        <n v="27156.0"/>
        <n v="35190.0"/>
        <n v="25483.5"/>
        <n v="25362.0"/>
        <n v="28849.5"/>
        <n v="26367.0"/>
        <n v="25539.0"/>
        <n v="14808.0"/>
        <n v="21343.5"/>
        <n v="17946.0"/>
        <n v="24337.5"/>
        <n v="36997.5"/>
        <n v="13864.5"/>
        <n v="28494.0"/>
        <n v="27883.5"/>
        <n v="31224.0"/>
        <n v="25020.0"/>
        <n v="26184.0"/>
        <n v="29824.5"/>
        <n v="208351.5"/>
        <n v="204637.5"/>
        <n v="31372.5"/>
        <n v="34681.5"/>
        <n v="28197.0"/>
        <n v="236551.5"/>
        <n v="223597.5"/>
        <n v="193363.5"/>
        <n v="188319.0"/>
        <n v="237544.5"/>
        <n v="203209.5"/>
        <n v="185979.0"/>
        <n v="244905.0"/>
        <n v="239409.0"/>
        <n v="192886.5"/>
        <n v="224233.5"/>
        <n v="219622.5"/>
        <n v="213582.0"/>
        <n v="195705.0"/>
        <n v="193722.0"/>
        <n v="257215.5"/>
        <n v="224779.5"/>
        <n v="292018.5"/>
        <n v="198751.5"/>
        <n v="214386.0"/>
        <n v="243825.0"/>
        <n v="232701.0"/>
        <n v="219411.0"/>
        <n v="200029.5"/>
        <n v="225480.0"/>
        <n v="211453.5"/>
        <n v="184801.5"/>
        <n v="177976.5"/>
        <n v="223617.0"/>
        <n v="176397.0"/>
        <n v="232369.5"/>
        <n v="226540.5"/>
        <n v="189679.5"/>
        <n v="213640.5"/>
        <n v="214885.5"/>
        <n v="203832.0"/>
        <n v="188662.5"/>
        <n v="215277.0"/>
        <n v="248148.0"/>
        <n v="246414.0"/>
        <n v="216498.0"/>
        <n v="275793.0"/>
        <n v="199753.5"/>
        <n v="192948.0"/>
        <n v="206038.5"/>
        <n v="231559.5"/>
        <n v="225076.5"/>
        <n v="209415.0"/>
        <n v="193719.0"/>
        <n v="12250.5"/>
        <n v="12541.5"/>
        <n v="206758.5"/>
        <n v="244734.0"/>
        <n v="191641.5"/>
        <n v="16368.0"/>
        <n v="14427.0"/>
        <n v="11745.0"/>
        <n v="11062.5"/>
        <n v="10018.5"/>
        <n v="10437.0"/>
        <n v="13644.0"/>
        <n v="13443.0"/>
        <n v="14182.5"/>
        <n v="14928.0"/>
        <n v="13941.0"/>
        <n v="14643.0"/>
        <n v="10032.0"/>
        <n v="12468.0"/>
        <n v="17943.0"/>
        <n v="15807.0"/>
        <n v="11976.0"/>
        <n v="14566.5"/>
        <n v="12976.5"/>
        <n v="11719.5"/>
        <n v="17197.5"/>
        <n v="14419.5"/>
        <n v="7816.5"/>
        <n v="6409.5"/>
        <n v="11220.0"/>
        <n v="8350.5"/>
        <n v="8428.5"/>
        <n v="32817.0"/>
        <n v="36031.5"/>
        <n v="5127.0"/>
        <n v="27187.5"/>
        <n v="20688.0"/>
        <n v="15678.0"/>
        <n v="31329.0"/>
        <n v="29658.0"/>
        <n v="34150.5"/>
        <n v="31947.0"/>
        <n v="10416.0"/>
        <n v="35431.5"/>
        <n v="78544.5"/>
        <n v="97963.5"/>
        <n v="77269.5"/>
        <n v="16143.0"/>
        <n v="72220.5"/>
        <n v="78058.5"/>
        <n v="70498.5"/>
        <n v="78961.5"/>
        <n v="12490.5"/>
        <n v="18036.0"/>
        <n v="11416.5"/>
        <n v="9007.5"/>
        <n v="87552.0"/>
        <n v="11680.5"/>
        <n v="14421.0"/>
        <n v="14823.0"/>
        <n v="31257.0"/>
        <n v="38074.5"/>
        <n v="32170.5"/>
        <n v="42397.5"/>
        <n v="28668.0"/>
        <n v="27411.0"/>
        <n v="32854.5"/>
        <n v="35346.0"/>
        <n v="286558.5"/>
        <n v="304092.0"/>
        <n v="272926.5"/>
        <n v="237099.0"/>
        <n v="273900.0"/>
        <n v="274059.0"/>
        <n v="318816.0"/>
        <n v="370012.5"/>
        <n v="393018.0"/>
        <n v="349699.5"/>
        <n v="318565.5"/>
        <n v="422965.5"/>
        <n v="355081.5"/>
        <n v="358387.5"/>
        <n v="403261.5"/>
        <n v="69010.5"/>
        <n v="75820.5"/>
        <n v="64740.0"/>
        <n v="59574.0"/>
        <n v="524481.0"/>
        <n v="70278.0"/>
        <n v="63645.0"/>
        <n v="75642.0"/>
        <n v="40420.5"/>
        <n v="53838.0"/>
        <n v="40528.5"/>
        <n v="32733.0"/>
        <n v="84433.5"/>
        <n v="36655.5"/>
        <n v="33886.5"/>
        <n v="41697.0"/>
        <n v="44569.5"/>
        <n v="18069.0"/>
        <n v="21483.0"/>
        <n v="16687.5"/>
        <n v="12238.5"/>
        <n v="14290.5"/>
        <n v="14385.0"/>
        <n v="16498.5"/>
        <n v="13203.0"/>
        <n v="15802.5"/>
        <n v="16476.0"/>
        <n v="12654.0"/>
        <n v="19647.0"/>
        <n v="12450.0"/>
        <n v="11161.5"/>
        <n v="12229.5"/>
        <n v="28050.0"/>
        <n v="30781.5"/>
        <n v="27960.0"/>
        <n v="23629.5"/>
        <n v="17052.0"/>
        <n v="27181.5"/>
        <n v="25656.0"/>
        <n v="29283.0"/>
        <n v="32782.5"/>
        <n v="215592.0"/>
        <n v="228334.5"/>
        <n v="188776.5"/>
        <n v="175293.0"/>
        <n v="201999.0"/>
        <n v="197946.0"/>
        <n v="230896.5"/>
        <n v="203532.0"/>
        <n v="214428.0"/>
        <n v="183228.0"/>
        <n v="166948.5"/>
        <n v="232102.5"/>
        <n v="196560.0"/>
        <n v="186496.5"/>
        <n v="219772.5"/>
        <n v="226476.0"/>
        <n v="8362.5"/>
        <n v="17008.5"/>
        <n v="5166.0"/>
        <n v="10941.0"/>
        <n v="14497.5"/>
        <n v="13810.5"/>
        <n v="13752.0"/>
        <n v="15276.0"/>
        <n v="4408.5"/>
        <n v="9927.0"/>
        <n v="9474.0"/>
        <n v="16878.0"/>
        <n v="14238.0"/>
      </sharedItems>
    </cacheField>
    <cacheField name="Товарооборот, руб" numFmtId="0">
      <sharedItems containsSemiMixedTypes="0" containsString="0" containsNumber="1">
        <n v="623971.5"/>
        <n v="787101.0"/>
        <n v="643944.0"/>
        <n v="3395892.0"/>
        <n v="2771116.5"/>
        <n v="2882458.5"/>
        <n v="2831019.0"/>
        <n v="2372310.0"/>
        <n v="2623480.5"/>
        <n v="2711247.0"/>
        <n v="2970330.0"/>
        <n v="3031254.0"/>
        <n v="2595778.5"/>
        <n v="2744382.0"/>
        <n v="2929330.5"/>
        <n v="2906763.0"/>
        <n v="2411587.5"/>
        <n v="2629782.0"/>
        <n v="2434914.0"/>
        <n v="2938623.0"/>
        <n v="3628726.5"/>
        <n v="3176580.0"/>
        <n v="2817196.5"/>
        <n v="3312967.5"/>
        <n v="2645160.0"/>
        <n v="2472213.0"/>
        <n v="2924746.5"/>
        <n v="3473895.0"/>
        <n v="3921784.5"/>
        <n v="2827773.0"/>
        <n v="7583758.5"/>
        <n v="6815511.0"/>
        <n v="6774946.5"/>
        <n v="6264933.0"/>
        <n v="6642249.0"/>
        <n v="7180498.5"/>
        <n v="5554192.5"/>
        <n v="6676459.5"/>
        <n v="8893024.5"/>
        <n v="6398361.0"/>
        <n v="6633847.5"/>
        <n v="7247575.5"/>
        <n v="6921316.5"/>
        <n v="7163644.5"/>
        <n v="6993952.5"/>
        <n v="7013670.0"/>
        <n v="6168657.0"/>
        <n v="8089143.0"/>
        <n v="6645603.0"/>
        <n v="7023727.5"/>
        <n v="7483194.0"/>
        <n v="6293776.5"/>
        <n v="6591883.5"/>
        <n v="6451032.0"/>
        <n v="1130506.5"/>
        <n v="938764.5"/>
        <n v="843727.5"/>
        <n v="1046400.0"/>
        <n v="728890.5"/>
        <n v="797919.0"/>
        <n v="617881.5"/>
        <n v="983109.0"/>
        <n v="891139.5"/>
        <n v="732964.5"/>
        <n v="935523.0"/>
        <n v="1037247.0"/>
        <n v="793320.0"/>
        <n v="869983.5"/>
        <n v="865714.5"/>
        <n v="7512646.5"/>
        <n v="637881.0"/>
        <n v="9164707.5"/>
        <n v="696832.5"/>
        <n v="1241383.5"/>
        <n v="6641569.5"/>
        <n v="1030440.0"/>
        <n v="716196.0"/>
        <n v="1004788.5"/>
        <n v="959703.0"/>
        <n v="863754.0"/>
        <n v="828984.0"/>
        <n v="1045515.0"/>
        <n v="1260483.0"/>
        <n v="1114552.5"/>
        <n v="3222517.5"/>
        <n v="2865337.5"/>
        <n v="2694289.5"/>
        <n v="2902167.0"/>
        <n v="2450968.5"/>
        <n v="2397588.0"/>
        <n v="1799230.5"/>
        <n v="2907411.0"/>
        <n v="2374356.0"/>
        <n v="2370432.0"/>
        <n v="2853181.5"/>
        <n v="2692230.0"/>
        <n v="2079900.0"/>
        <n v="2136817.5"/>
        <n v="2373337.5"/>
        <n v="2170309.5"/>
        <n v="2232519.0"/>
        <n v="3385372.5"/>
        <n v="2865727.5"/>
        <n v="2267664.0"/>
        <n v="2862298.5"/>
        <n v="2271454.5"/>
        <n v="2350672.5"/>
        <n v="2915533.5"/>
        <n v="2991999.0"/>
        <n v="3654166.5"/>
        <n v="3004213.5"/>
        <n v="3.2235864E7"/>
        <n v="2.7093624E7"/>
        <n v="2.66599305E7"/>
        <n v="2.9768199E7"/>
        <n v="2.935794E7"/>
        <n v="3.08692875E7"/>
        <n v="2.43420165E7"/>
        <n v="2.787261789885E7"/>
        <n v="3.10533165E7"/>
        <n v="2.904252E7"/>
        <n v="2.78529E7"/>
        <n v="2.936877161745E7"/>
        <n v="2.7278441145E7"/>
        <n v="2.91590325E7"/>
        <n v="2.64674535E7"/>
        <n v="2.8427001E7"/>
        <n v="2.87708101056E7"/>
        <n v="3.510392671155E7"/>
        <n v="2.71659135E7"/>
        <n v="3.2418879E7"/>
        <n v="2.953617610605E7"/>
        <n v="3.80915565E7"/>
        <n v="2.5325271E7"/>
        <n v="2.8188534E7"/>
        <n v="4.2323631E7"/>
        <n v="3.7023243E7"/>
        <n v="3.6834567E7"/>
        <n v="3.8693427E7"/>
        <n v="3.8406954E7"/>
        <n v="4.1559384E7"/>
        <n v="3.1843737E7"/>
        <n v="3.83659605E7"/>
        <n v="4.00771935E7"/>
        <n v="3.9578577E7"/>
        <n v="3.790215657E7"/>
        <n v="3.9639309E7"/>
        <n v="3.5671734E7"/>
        <n v="3.99180285E7"/>
        <n v="3.71971155E7"/>
        <n v="2.9327766E7"/>
        <n v="3.66319995E7"/>
        <n v="3.57244935E7"/>
        <n v="3.8092344E7"/>
        <n v="4.640808E7"/>
        <n v="2.815100475E7"/>
        <n v="3.6883428E7"/>
        <n v="4.30287345E7"/>
        <n v="3.9010875E7"/>
        <n v="4.91231805E7"/>
        <n v="3.3763989E7"/>
        <n v="3.81913815E7"/>
        <n v="6652179.0"/>
        <n v="6173463.0"/>
        <n v="5952802.5"/>
        <n v="7253427.0"/>
        <n v="5561452.5"/>
        <n v="6454458.0"/>
        <n v="4118251.5"/>
        <n v="5864989.5"/>
        <n v="7032225.0"/>
        <n v="5523145.5"/>
        <n v="5864085.0"/>
        <n v="7121946.0"/>
        <n v="5770539.0"/>
        <n v="6288246.0"/>
        <n v="6333828.0"/>
        <n v="3.9380178E7"/>
        <n v="6221320.5"/>
        <n v="4.6370904E7"/>
        <n v="5454121.5"/>
        <n v="7173117.0"/>
        <n v="3.79476885E7"/>
        <n v="5704650.0"/>
        <n v="6819594.0"/>
        <n v="7726069.5"/>
        <n v="5365708.5"/>
        <n v="6175837.5"/>
        <n v="6098236.5"/>
        <n v="4025148.0"/>
        <n v="3552937.5"/>
        <n v="3191155.5"/>
        <n v="3084892.5"/>
        <n v="2817853.5"/>
        <n v="2627595.0"/>
        <n v="2470465.5"/>
        <n v="3700311.0"/>
        <n v="4293241.5"/>
        <n v="3080614.5"/>
        <n v="3810394.5"/>
        <n v="3918987.0"/>
        <n v="2648688.0"/>
        <n v="2863600.5"/>
        <n v="3288069.0"/>
        <n v="6500848.5"/>
        <n v="2720002.5"/>
        <n v="9098386.5"/>
        <n v="2738127.0"/>
        <n v="3883215.0"/>
        <n v="6101931.0"/>
        <n v="3561655.5"/>
        <n v="2853310.5"/>
        <n v="3549097.5"/>
        <n v="3201358.5"/>
        <n v="2934504.0"/>
        <n v="3449302.5"/>
        <n v="3994153.5"/>
        <n v="4456441.5"/>
        <n v="3893680.5"/>
        <n v="1601425.5"/>
        <n v="1364847.0"/>
        <n v="1377577.5"/>
        <n v="1222932.0"/>
        <n v="1085211.0"/>
        <n v="1115992.5"/>
        <n v="1053220.5"/>
        <n v="1489132.5"/>
        <n v="1465842.0"/>
        <n v="1123830.0"/>
        <n v="1380751.5"/>
        <n v="1430254.5"/>
        <n v="1384179.0"/>
        <n v="1102887.0"/>
        <n v="1243507.5"/>
        <n v="1120009.5"/>
        <n v="1221057.0"/>
        <n v="1854001.5"/>
        <n v="1507867.5"/>
        <n v="1103068.5"/>
        <n v="1471537.5"/>
        <n v="1269786.0"/>
        <n v="1123894.5"/>
        <n v="1548099.0"/>
        <n v="1215033.0"/>
        <n v="1403047.5"/>
        <n v="1060489.5"/>
        <n v="1081216.5"/>
        <n v="610855.5"/>
        <n v="2360914.5"/>
        <n v="433243.5"/>
        <n v="1152054.0"/>
        <n v="505572.0"/>
        <n v="989632.5"/>
        <n v="1103623.5"/>
        <n v="1104858.0"/>
        <n v="694593.0"/>
        <n v="2277072.0"/>
        <n v="949912.5"/>
        <n v="1592119.5"/>
        <n v="665302.5"/>
        <n v="2457252.0"/>
        <n v="739291.5"/>
        <n v="1315075.5"/>
        <n v="1487928.0"/>
        <n v="1230687.0"/>
        <n v="404691.0"/>
        <n v="1198285.5"/>
        <n v="798759.0"/>
        <n v="769276.5"/>
        <n v="1184865.0"/>
        <n v="2922883.5"/>
        <n v="2446530.0"/>
        <n v="2435632.5"/>
        <n v="2384937.0"/>
        <n v="2155668.0"/>
        <n v="1682851.5"/>
        <n v="2410803.0"/>
        <n v="3168510.0"/>
        <n v="2243160.0"/>
        <n v="2198935.5"/>
        <n v="2520759.0"/>
        <n v="2380333.5"/>
        <n v="2263651.5"/>
        <n v="1336789.5"/>
        <n v="1906557.0"/>
        <n v="1609090.5"/>
        <n v="2159350.5"/>
        <n v="3089140.5"/>
        <n v="1239747.0"/>
        <n v="2512803.0"/>
        <n v="2560080.0"/>
        <n v="2767270.5"/>
        <n v="2235960.0"/>
        <n v="2308336.5"/>
        <n v="2526909.0"/>
        <n v="2.1615333E7"/>
        <n v="2.11148985E7"/>
        <n v="2794324.5"/>
        <n v="3005334.0"/>
        <n v="2559211.5"/>
        <n v="2.3689383E7"/>
        <n v="2.1945858E7"/>
        <n v="1.9546386E7"/>
        <n v="1.92186315E7"/>
        <n v="2.4292218E7"/>
        <n v="2.08713915E7"/>
        <n v="1.9625364E7"/>
        <n v="2.51634315E7"/>
        <n v="2.5413351E7"/>
        <n v="1.92051795E7"/>
        <n v="2.2253295E7"/>
        <n v="2.1959286E7"/>
        <n v="2.19194355E7"/>
        <n v="2.00032635E7"/>
        <n v="1.9437273E7"/>
        <n v="2.64922785E7"/>
        <n v="2.3032992E7"/>
        <n v="2.85909105E7"/>
        <n v="2.05827435E7"/>
        <n v="2.253E7"/>
        <n v="2.48904045E7"/>
        <n v="2.38819485E7"/>
        <n v="2.246013E7"/>
        <n v="1.9959801E7"/>
        <n v="2.23553385E7"/>
        <n v="2.05900725E7"/>
        <n v="1.8449091E7"/>
        <n v="1.80857985E7"/>
        <n v="2.27968275E7"/>
        <n v="1.86259215E7"/>
        <n v="2.3856345E7"/>
        <n v="2.3953536E7"/>
        <n v="1.87180365E7"/>
        <n v="2.10426735E7"/>
        <n v="2.14113495E7"/>
        <n v="2.08801425E7"/>
        <n v="1.87840005E7"/>
        <n v="2.15853165E7"/>
        <n v="2.55190725E7"/>
        <n v="2.45272455E7"/>
        <n v="2.21264445E7"/>
        <n v="2.6806626E7"/>
        <n v="2.05357335E7"/>
        <n v="1.9806927E7"/>
        <n v="2.174046E7"/>
        <n v="2.3443725E7"/>
        <n v="2.28460785E7"/>
        <n v="2.1463023E7"/>
        <n v="1.9071117E7"/>
        <n v="981519.0"/>
        <n v="992541.0"/>
        <n v="2.07172485E7"/>
        <n v="2.415198E7"/>
        <n v="1.95490365E7"/>
        <n v="1316350.5"/>
        <n v="1126810.5"/>
        <n v="1157529.0"/>
        <n v="955801.5"/>
        <n v="906343.5"/>
        <n v="816859.5"/>
        <n v="833815.5"/>
        <n v="1134444.0"/>
        <n v="1092277.5"/>
        <n v="1172574.0"/>
        <n v="1217749.5"/>
        <n v="1145575.5"/>
        <n v="1172691.0"/>
        <n v="816150.0"/>
        <n v="1016566.5"/>
        <n v="1457391.0"/>
        <n v="1326705.0"/>
        <n v="1004511.0"/>
        <n v="1216557.0"/>
        <n v="1046848.5"/>
        <n v="965880.0"/>
        <n v="1386262.5"/>
        <n v="1210456.5"/>
        <n v="636345.0"/>
        <n v="493893.0"/>
        <n v="928675.5"/>
        <n v="651237.0"/>
        <n v="694669.5"/>
        <n v="3015751.5"/>
        <n v="3091069.5"/>
        <n v="468835.5"/>
        <n v="2479396.5"/>
        <n v="1773154.5"/>
        <n v="1387443.0"/>
        <n v="2826379.5"/>
        <n v="2703132.0"/>
        <n v="3038293.5"/>
        <n v="2945035.5"/>
        <n v="866023.5"/>
        <n v="3193167.0"/>
        <n v="6701083.5"/>
        <n v="7728465.0"/>
        <n v="6829921.5"/>
        <n v="1423410.0"/>
        <n v="6398719.5"/>
        <n v="6609714.0"/>
        <n v="6053649.0"/>
        <n v="6876454.5"/>
        <n v="1054798.5"/>
        <n v="1455049.5"/>
        <n v="1007742.0"/>
        <n v="734335.5"/>
        <n v="7387116.0"/>
        <n v="936427.5"/>
        <n v="981564.0"/>
        <n v="1150579.5"/>
        <n v="1273464.0"/>
        <n v="2924133.0"/>
        <n v="3414180.0"/>
        <n v="3013512.0"/>
        <n v="3911979.0"/>
        <n v="2588148.0"/>
        <n v="2441520.0"/>
        <n v="2949078.0"/>
        <n v="3258054.0"/>
        <n v="2.9256993E7"/>
        <n v="2.9465769E7"/>
        <n v="2.77700925E7"/>
        <n v="2.462823322395E7"/>
        <n v="2.7535284147600003E7"/>
        <n v="2.8181292E7"/>
        <n v="3.2354331E7"/>
        <n v="3.90348615E7"/>
        <n v="3.94983735E7"/>
        <n v="3.725784018135E7"/>
        <n v="3.3781581E7"/>
        <n v="4.1767140105000004E7"/>
        <n v="3.6876888E7"/>
        <n v="3.79631505E7"/>
        <n v="4.2271377E7"/>
        <n v="5985894.0"/>
        <n v="5943489.0"/>
        <n v="5800290.0"/>
        <n v="5178169.5"/>
        <n v="5.4172029E7"/>
        <n v="5798476.5"/>
        <n v="5366602.5"/>
        <n v="6293952.0"/>
        <n v="3780852.0"/>
        <n v="4840833.0"/>
        <n v="3865251.0"/>
        <n v="3079630.5"/>
        <n v="7228395.0"/>
        <n v="3360135.0"/>
        <n v="3166479.0"/>
        <n v="3772258.5"/>
        <n v="4108596.0"/>
        <n v="1603084.5"/>
        <n v="1774329.0"/>
        <n v="1526608.5"/>
        <n v="1096002.0"/>
        <n v="1246162.5"/>
        <n v="1223491.5"/>
        <n v="1370482.5"/>
        <n v="1211457.0"/>
        <n v="1411909.5"/>
        <n v="1565632.5"/>
        <n v="1081158.0"/>
        <n v="1764669.0"/>
        <n v="1115146.5"/>
        <n v="963502.5"/>
        <n v="1122730.5"/>
        <n v="2458555.5"/>
        <n v="2540715.0"/>
        <n v="2538967.5"/>
        <n v="2164365.0"/>
        <n v="1549020.0"/>
        <n v="2324490.0"/>
        <n v="2225341.5"/>
        <n v="2477487.0"/>
        <n v="2854741.5"/>
        <n v="2.23423005E7"/>
        <n v="2.23807725E7"/>
        <n v="1.94653725E7"/>
        <n v="1.7919144E7"/>
        <n v="2.04224355E7"/>
        <n v="1.99424355E7"/>
        <n v="2.3085222E7"/>
        <n v="2.09533245E7"/>
        <n v="2.08125855E7"/>
        <n v="1.89141945E7"/>
        <n v="1.6971231E7"/>
        <n v="2.31204435E7"/>
        <n v="1.9855122E7"/>
        <n v="1.8640998E7"/>
        <n v="2.18952945E7"/>
        <n v="2.24161515E7"/>
        <n v="687684.0"/>
        <n v="1398771.0"/>
        <n v="389013.0"/>
        <n v="880356.0"/>
        <n v="1230711.0"/>
        <n v="1131676.5"/>
        <n v="1091040.0"/>
        <n v="1350199.5"/>
        <n v="410892.0"/>
        <n v="850840.5"/>
        <n v="802447.5"/>
        <n v="1438255.5"/>
        <n v="1293219.0"/>
      </sharedItems>
    </cacheField>
    <cacheField name="Количество складов" numFmtId="0">
      <sharedItems containsSemiMixedTypes="0" containsString="0" containsNumber="1" containsInteger="1">
        <n v="15.0"/>
        <n v="21.0"/>
        <n v="20.0"/>
        <n v="18.0"/>
        <n v="19.0"/>
        <n v="31.0"/>
        <n v="10.0"/>
        <n v="17.0"/>
        <n v="129.0"/>
        <n v="128.0"/>
        <n v="125.0"/>
        <n v="124.0"/>
        <n v="36.0"/>
        <n v="37.0"/>
        <n v="23.0"/>
        <n v="22.0"/>
        <n v="16.0"/>
        <n v="59.0"/>
        <n v="60.0"/>
        <n v="54.0"/>
        <n v="7.0"/>
        <n v="9.0"/>
        <n v="6.0"/>
        <n v="123.0"/>
      </sharedItems>
    </cacheField>
    <cacheField name="Количество заказов" numFmtId="0">
      <sharedItems containsSemiMixedTypes="0" containsString="0" containsNumber="1" containsInteger="1">
        <n v="441.0"/>
        <n v="490.0"/>
        <n v="464.0"/>
        <n v="2145.0"/>
        <n v="1860.0"/>
        <n v="1874.0"/>
        <n v="1735.0"/>
        <n v="1519.0"/>
        <n v="1684.0"/>
        <n v="1708.0"/>
        <n v="2044.0"/>
        <n v="1826.0"/>
        <n v="1656.0"/>
        <n v="1787.0"/>
        <n v="1921.0"/>
        <n v="1773.0"/>
        <n v="1539.0"/>
        <n v="1698.0"/>
        <n v="1520.0"/>
        <n v="1784.0"/>
        <n v="2340.0"/>
        <n v="2087.0"/>
        <n v="1712.0"/>
        <n v="2016.0"/>
        <n v="1646.0"/>
        <n v="1542.0"/>
        <n v="1999.0"/>
        <n v="2271.0"/>
        <n v="2597.0"/>
        <n v="1886.0"/>
        <n v="5593.0"/>
        <n v="5389.0"/>
        <n v="5206.0"/>
        <n v="4556.0"/>
        <n v="4968.0"/>
        <n v="5378.0"/>
        <n v="4157.0"/>
        <n v="5493.0"/>
        <n v="6118.0"/>
        <n v="4800.0"/>
        <n v="5207.0"/>
        <n v="5698.0"/>
        <n v="5188.0"/>
        <n v="5465.0"/>
        <n v="5251.0"/>
        <n v="5155.0"/>
        <n v="4709.0"/>
        <n v="6276.0"/>
        <n v="5210.0"/>
        <n v="5120.0"/>
        <n v="5495.0"/>
        <n v="4635.0"/>
        <n v="4903.0"/>
        <n v="5035.0"/>
        <n v="760.0"/>
        <n v="649.0"/>
        <n v="591.0"/>
        <n v="644.0"/>
        <n v="462.0"/>
        <n v="502.0"/>
        <n v="416.0"/>
        <n v="692.0"/>
        <n v="554.0"/>
        <n v="526.0"/>
        <n v="677.0"/>
        <n v="745.0"/>
        <n v="511.0"/>
        <n v="580.0"/>
        <n v="612.0"/>
        <n v="5760.0"/>
        <n v="402.0"/>
        <n v="6735.0"/>
        <n v="465.0"/>
        <n v="828.0"/>
        <n v="5355.0"/>
        <n v="739.0"/>
        <n v="448.0"/>
        <n v="642.0"/>
        <n v="638.0"/>
        <n v="563.0"/>
        <n v="639.0"/>
        <n v="749.0"/>
        <n v="865.0"/>
        <n v="791.0"/>
        <n v="2080.0"/>
        <n v="1871.0"/>
        <n v="1851.0"/>
        <n v="1582.0"/>
        <n v="1534.0"/>
        <n v="1217.0"/>
        <n v="2036.0"/>
        <n v="1497.0"/>
        <n v="1649.0"/>
        <n v="1949.0"/>
        <n v="1889.0"/>
        <n v="1417.0"/>
        <n v="1439.0"/>
        <n v="1625.0"/>
        <n v="1402.0"/>
        <n v="1499.0"/>
        <n v="2266.0"/>
        <n v="2011.0"/>
        <n v="1848.0"/>
        <n v="1522.0"/>
        <n v="1530.0"/>
        <n v="2015.0"/>
        <n v="2060.0"/>
        <n v="2451.0"/>
        <n v="2088.0"/>
        <n v="17914.0"/>
        <n v="16191.0"/>
        <n v="15744.0"/>
        <n v="16420.0"/>
        <n v="16525.0"/>
        <n v="17368.0"/>
        <n v="14009.0"/>
        <n v="16459.0"/>
        <n v="17002.0"/>
        <n v="16387.0"/>
        <n v="16373.0"/>
        <n v="17095.0"/>
        <n v="15665.0"/>
        <n v="16450.0"/>
        <n v="15304.0"/>
        <n v="15778.0"/>
        <n v="16376.0"/>
        <n v="19856.0"/>
        <n v="15822.0"/>
        <n v="18042.0"/>
        <n v="16437.0"/>
        <n v="20452.0"/>
        <n v="14582.0"/>
        <n v="16432.0"/>
        <n v="22291.0"/>
        <n v="20771.0"/>
        <n v="20079.0"/>
        <n v="20132.0"/>
        <n v="20495.0"/>
        <n v="21863.0"/>
        <n v="16932.0"/>
        <n v="21153.0"/>
        <n v="20602.0"/>
        <n v="21106.0"/>
        <n v="20911.0"/>
        <n v="21674.0"/>
        <n v="18944.0"/>
        <n v="20914.0"/>
        <n v="19965.0"/>
        <n v="17235.0"/>
        <n v="18861.0"/>
        <n v="20243.0"/>
        <n v="20218.0"/>
        <n v="24574.0"/>
        <n v="16453.0"/>
        <n v="20358.0"/>
        <n v="22368.0"/>
        <n v="20368.0"/>
        <n v="24620.0"/>
        <n v="18014.0"/>
        <n v="21004.0"/>
        <n v="5286.0"/>
        <n v="5094.0"/>
        <n v="4918.0"/>
        <n v="5413.0"/>
        <n v="4508.0"/>
        <n v="4937.0"/>
        <n v="3442.0"/>
        <n v="4770.0"/>
        <n v="5457.0"/>
        <n v="4418.0"/>
        <n v="4816.0"/>
        <n v="5914.0"/>
        <n v="4575.0"/>
        <n v="4923.0"/>
        <n v="4967.0"/>
        <n v="21392.0"/>
        <n v="4751.0"/>
        <n v="24325.0"/>
        <n v="4384.0"/>
        <n v="5651.0"/>
        <n v="20868.0"/>
        <n v="4641.0"/>
        <n v="5143.0"/>
        <n v="5746.0"/>
        <n v="4199.0"/>
        <n v="4826.0"/>
        <n v="4915.0"/>
        <n v="2427.0"/>
        <n v="2245.0"/>
        <n v="2054.0"/>
        <n v="1891.0"/>
        <n v="1804.0"/>
        <n v="1676.0"/>
        <n v="1613.0"/>
        <n v="2418.0"/>
        <n v="2468.0"/>
        <n v="1926.0"/>
        <n v="2335.0"/>
        <n v="2410.0"/>
        <n v="1757.0"/>
        <n v="1846.0"/>
        <n v="2061.0"/>
        <n v="5215.0"/>
        <n v="1716.0"/>
        <n v="6645.0"/>
        <n v="1747.0"/>
        <n v="2460.0"/>
        <n v="4840.0"/>
        <n v="2330.0"/>
        <n v="1756.0"/>
        <n v="2120.0"/>
        <n v="1957.0"/>
        <n v="1879.0"/>
        <n v="2254.0"/>
        <n v="2522.0"/>
        <n v="2793.0"/>
        <n v="2454.0"/>
        <n v="1111.0"/>
        <n v="1012.0"/>
        <n v="971.0"/>
        <n v="849.0"/>
        <n v="750.0"/>
        <n v="786.0"/>
        <n v="751.0"/>
        <n v="1140.0"/>
        <n v="996.0"/>
        <n v="845.0"/>
        <n v="1045.0"/>
        <n v="1050.0"/>
        <n v="922.0"/>
        <n v="780.0"/>
        <n v="898.0"/>
        <n v="784.0"/>
        <n v="839.0"/>
        <n v="1294.0"/>
        <n v="1142.0"/>
        <n v="950.0"/>
        <n v="879.0"/>
        <n v="805.0"/>
        <n v="1128.0"/>
        <n v="747.0"/>
        <n v="930.0"/>
        <n v="623.0"/>
        <n v="390.0"/>
        <n v="1599.0"/>
        <n v="274.0"/>
        <n v="812.0"/>
        <n v="294.0"/>
        <n v="624.0"/>
        <n v="455.0"/>
        <n v="1505.0"/>
        <n v="599.0"/>
        <n v="1186.0"/>
        <n v="1697.0"/>
        <n v="467.0"/>
        <n v="840.0"/>
        <n v="1097.0"/>
        <n v="835.0"/>
        <n v="262.0"/>
        <n v="706.0"/>
        <n v="492.0"/>
        <n v="480.0"/>
        <n v="779.0"/>
        <n v="2039.0"/>
        <n v="1831.0"/>
        <n v="1790.0"/>
        <n v="1479.0"/>
        <n v="1206.0"/>
        <n v="1814.0"/>
        <n v="1987.0"/>
        <n v="1598.0"/>
        <n v="1650.0"/>
        <n v="1823.0"/>
        <n v="1622.0"/>
        <n v="1605.0"/>
        <n v="917.0"/>
        <n v="1314.0"/>
        <n v="1048.0"/>
        <n v="1509.0"/>
        <n v="2195.0"/>
        <n v="876.0"/>
        <n v="1899.0"/>
        <n v="1662.0"/>
        <n v="1836.0"/>
        <n v="1580.0"/>
        <n v="1868.0"/>
        <n v="13186.0"/>
        <n v="12943.0"/>
        <n v="2056.0"/>
        <n v="2174.0"/>
        <n v="1875.0"/>
        <n v="14049.0"/>
        <n v="13867.0"/>
        <n v="11698.0"/>
        <n v="12016.0"/>
        <n v="14423.0"/>
        <n v="12747.0"/>
        <n v="12429.0"/>
        <n v="15369.0"/>
        <n v="15222.0"/>
        <n v="12000.0"/>
        <n v="14005.0"/>
        <n v="13792.0"/>
        <n v="13469.0"/>
        <n v="12306.0"/>
        <n v="12007.0"/>
        <n v="15277.0"/>
        <n v="14103.0"/>
        <n v="17295.0"/>
        <n v="12983.0"/>
        <n v="13251.0"/>
        <n v="14569.0"/>
        <n v="14098.0"/>
        <n v="13495.0"/>
        <n v="12822.0"/>
        <n v="13170.0"/>
        <n v="13070.0"/>
        <n v="11128.0"/>
        <n v="11288.0"/>
        <n v="13606.0"/>
        <n v="11622.0"/>
        <n v="14482.0"/>
        <n v="14205.0"/>
        <n v="11614.0"/>
        <n v="13240.0"/>
        <n v="13298.0"/>
        <n v="12775.0"/>
        <n v="11522.0"/>
        <n v="13684.0"/>
        <n v="14823.0"/>
        <n v="15030.0"/>
        <n v="13406.0"/>
        <n v="16221.0"/>
        <n v="12854.0"/>
        <n v="12336.0"/>
        <n v="12817.0"/>
        <n v="13832.0"/>
        <n v="13563.0"/>
        <n v="12743.0"/>
        <n v="12211.0"/>
        <n v="659.0"/>
        <n v="636.0"/>
        <n v="13106.0"/>
        <n v="14590.0"/>
        <n v="12409.0"/>
        <n v="920.0"/>
        <n v="857.0"/>
        <n v="859.0"/>
        <n v="654.0"/>
        <n v="622.0"/>
        <n v="567.0"/>
        <n v="577.0"/>
        <n v="721.0"/>
        <n v="888.0"/>
        <n v="890.0"/>
        <n v="854.0"/>
        <n v="585.0"/>
        <n v="701.0"/>
        <n v="1031.0"/>
        <n v="989.0"/>
        <n v="792.0"/>
        <n v="703.0"/>
        <n v="676.0"/>
        <n v="1006.0"/>
        <n v="914.0"/>
        <n v="453.0"/>
        <n v="345.0"/>
        <n v="532.0"/>
        <n v="400.0"/>
        <n v="420.0"/>
        <n v="2079.0"/>
        <n v="2046.0"/>
        <n v="261.0"/>
        <n v="1597.0"/>
        <n v="1216.0"/>
        <n v="1020.0"/>
        <n v="1834.0"/>
        <n v="1706.0"/>
        <n v="2025.0"/>
        <n v="530.0"/>
        <n v="2111.0"/>
        <n v="5330.0"/>
        <n v="5965.0"/>
        <n v="5468.0"/>
        <n v="1029.0"/>
        <n v="5165.0"/>
        <n v="4695.0"/>
        <n v="5184.0"/>
        <n v="757.0"/>
        <n v="965.0"/>
        <n v="719.0"/>
        <n v="494.0"/>
        <n v="5751.0"/>
        <n v="645.0"/>
        <n v="627.0"/>
        <n v="743.0"/>
        <n v="873.0"/>
        <n v="2306.0"/>
        <n v="2136.0"/>
        <n v="2530.0"/>
        <n v="1858.0"/>
        <n v="1675.0"/>
        <n v="1940.0"/>
        <n v="2249.0"/>
        <n v="17115.0"/>
        <n v="17088.0"/>
        <n v="16285.0"/>
        <n v="14043.0"/>
        <n v="16110.0"/>
        <n v="15804.0"/>
        <n v="17808.0"/>
        <n v="21384.0"/>
        <n v="21427.0"/>
        <n v="20325.0"/>
        <n v="18066.0"/>
        <n v="22403.0"/>
        <n v="20449.0"/>
        <n v="20247.0"/>
        <n v="21862.0"/>
        <n v="4951.0"/>
        <n v="4857.0"/>
        <n v="4722.0"/>
        <n v="4150.0"/>
        <n v="25828.0"/>
        <n v="4885.0"/>
        <n v="4285.0"/>
        <n v="4862.0"/>
        <n v="2430.0"/>
        <n v="2861.0"/>
        <n v="2531.0"/>
        <n v="1916.0"/>
        <n v="5672.0"/>
        <n v="1993.0"/>
        <n v="2255.0"/>
        <n v="1203.0"/>
        <n v="1268.0"/>
        <n v="1185.0"/>
        <n v="925.0"/>
        <n v="980.0"/>
        <n v="809.0"/>
        <n v="903.0"/>
        <n v="1019.0"/>
        <n v="684.0"/>
        <n v="1296.0"/>
        <n v="729.0"/>
        <n v="688.0"/>
        <n v="1873.0"/>
        <n v="1859.0"/>
        <n v="1527.0"/>
        <n v="981.0"/>
        <n v="1741.0"/>
        <n v="1635.0"/>
        <n v="1780.0"/>
        <n v="2064.0"/>
        <n v="13942.0"/>
        <n v="14050.0"/>
        <n v="12299.0"/>
        <n v="11100.0"/>
        <n v="12460.0"/>
        <n v="11935.0"/>
        <n v="13544.0"/>
        <n v="13091.0"/>
        <n v="13014.0"/>
        <n v="11864.0"/>
        <n v="10570.0"/>
        <n v="14507.0"/>
        <n v="12012.0"/>
        <n v="11194.0"/>
        <n v="12791.0"/>
        <n v="14031.0"/>
        <n v="409.0"/>
        <n v="985.0"/>
        <n v="864.0"/>
        <n v="834.0"/>
        <n v="817.0"/>
        <n v="962.0"/>
        <n v="237.0"/>
        <n v="491.0"/>
        <n v="500.0"/>
        <n v="1014.0"/>
        <n v="923.0"/>
      </sharedItems>
    </cacheField>
    <cacheField name="Количество клиентов" numFmtId="0">
      <sharedItems containsSemiMixedTypes="0" containsString="0" containsNumber="1" containsInteger="1">
        <n v="368.0"/>
        <n v="409.0"/>
        <n v="390.0"/>
        <n v="1947.0"/>
        <n v="1704.0"/>
        <n v="1705.0"/>
        <n v="1568.0"/>
        <n v="1372.0"/>
        <n v="1528.0"/>
        <n v="1534.0"/>
        <n v="1863.0"/>
        <n v="1633.0"/>
        <n v="1516.0"/>
        <n v="1626.0"/>
        <n v="1767.0"/>
        <n v="1604.0"/>
        <n v="1404.0"/>
        <n v="1554.0"/>
        <n v="1373.0"/>
        <n v="1632.0"/>
        <n v="2146.0"/>
        <n v="1914.0"/>
        <n v="1552.0"/>
        <n v="1846.0"/>
        <n v="1492.0"/>
        <n v="1405.0"/>
        <n v="1829.0"/>
        <n v="2085.0"/>
        <n v="2376.0"/>
        <n v="1736.0"/>
        <n v="5177.0"/>
        <n v="5024.0"/>
        <n v="4843.0"/>
        <n v="4220.0"/>
        <n v="4596.0"/>
        <n v="4985.0"/>
        <n v="3823.0"/>
        <n v="5119.0"/>
        <n v="5564.0"/>
        <n v="4470.0"/>
        <n v="4868.0"/>
        <n v="5258.0"/>
        <n v="4800.0"/>
        <n v="5096.0"/>
        <n v="4853.0"/>
        <n v="4762.0"/>
        <n v="4348.0"/>
        <n v="5801.0"/>
        <n v="4841.0"/>
        <n v="4737.0"/>
        <n v="5093.0"/>
        <n v="4266.0"/>
        <n v="4527.0"/>
        <n v="4683.0"/>
        <n v="672.0"/>
        <n v="568.0"/>
        <n v="513.0"/>
        <n v="559.0"/>
        <n v="396.0"/>
        <n v="433.0"/>
        <n v="341.0"/>
        <n v="601.0"/>
        <n v="472.0"/>
        <n v="448.0"/>
        <n v="591.0"/>
        <n v="654.0"/>
        <n v="437.0"/>
        <n v="506.0"/>
        <n v="530.0"/>
        <n v="5367.0"/>
        <n v="333.0"/>
        <n v="6264.0"/>
        <n v="734.0"/>
        <n v="4969.0"/>
        <n v="642.0"/>
        <n v="376.0"/>
        <n v="556.0"/>
        <n v="547.0"/>
        <n v="486.0"/>
        <n v="557.0"/>
        <n v="655.0"/>
        <n v="763.0"/>
        <n v="697.0"/>
        <n v="1844.0"/>
        <n v="1799.0"/>
        <n v="1660.0"/>
        <n v="1635.0"/>
        <n v="1403.0"/>
        <n v="1369.0"/>
        <n v="1048.0"/>
        <n v="1790.0"/>
        <n v="1291.0"/>
        <n v="1460.0"/>
        <n v="1724.0"/>
        <n v="1690.0"/>
        <n v="1245.0"/>
        <n v="1265.0"/>
        <n v="1444.0"/>
        <n v="1234.0"/>
        <n v="1323.0"/>
        <n v="1993.0"/>
        <n v="1791.0"/>
        <n v="1322.0"/>
        <n v="1649.0"/>
        <n v="1340.0"/>
        <n v="1338.0"/>
        <n v="1803.0"/>
        <n v="1826.0"/>
        <n v="2178.0"/>
        <n v="1848.0"/>
        <n v="16631.0"/>
        <n v="15102.0"/>
        <n v="14685.0"/>
        <n v="15169.0"/>
        <n v="15310.0"/>
        <n v="16077.0"/>
        <n v="12920.0"/>
        <n v="15355.0"/>
        <n v="15570.0"/>
        <n v="15322.0"/>
        <n v="15223.0"/>
        <n v="15919.0"/>
        <n v="14501.0"/>
        <n v="15320.0"/>
        <n v="14315.0"/>
        <n v="14624.0"/>
        <n v="15197.0"/>
        <n v="18325.0"/>
        <n v="14753.0"/>
        <n v="15285.0"/>
        <n v="18857.0"/>
        <n v="13512.0"/>
        <n v="15345.0"/>
        <n v="20635.0"/>
        <n v="19338.0"/>
        <n v="18721.0"/>
        <n v="18617.0"/>
        <n v="18964.0"/>
        <n v="20160.0"/>
        <n v="15601.0"/>
        <n v="19673.0"/>
        <n v="18845.0"/>
        <n v="19651.0"/>
        <n v="19358.0"/>
        <n v="20155.0"/>
        <n v="17541.0"/>
        <n v="19479.0"/>
        <n v="18573.0"/>
        <n v="16052.0"/>
        <n v="17420.0"/>
        <n v="18711.0"/>
        <n v="18647.0"/>
        <n v="22609.0"/>
        <n v="15289.0"/>
        <n v="18890.0"/>
        <n v="20625.0"/>
        <n v="18884.0"/>
        <n v="22641.0"/>
        <n v="16675.0"/>
        <n v="19556.0"/>
        <n v="4867.0"/>
        <n v="4716.0"/>
        <n v="4554.0"/>
        <n v="4959.0"/>
        <n v="4149.0"/>
        <n v="4561.0"/>
        <n v="3147.0"/>
        <n v="4424.0"/>
        <n v="4916.0"/>
        <n v="4088.0"/>
        <n v="4452.0"/>
        <n v="5384.0"/>
        <n v="4206.0"/>
        <n v="4560.0"/>
        <n v="4583.0"/>
        <n v="19869.0"/>
        <n v="4370.0"/>
        <n v="22469.0"/>
        <n v="4025.0"/>
        <n v="5212.0"/>
        <n v="19342.0"/>
        <n v="4274.0"/>
        <n v="4715.0"/>
        <n v="5277.0"/>
        <n v="3867.0"/>
        <n v="4426.0"/>
        <n v="4562.0"/>
        <n v="2213.0"/>
        <n v="2053.0"/>
        <n v="1883.0"/>
        <n v="1709.0"/>
        <n v="1638.0"/>
        <n v="1457.0"/>
        <n v="2215.0"/>
        <n v="2221.0"/>
        <n v="1745.0"/>
        <n v="2126.0"/>
        <n v="2202.0"/>
        <n v="1596.0"/>
        <n v="1681.0"/>
        <n v="1876.0"/>
        <n v="4848.0"/>
        <n v="1561.0"/>
        <n v="6122.0"/>
        <n v="1570.0"/>
        <n v="2226.0"/>
        <n v="4475.0"/>
        <n v="2142.0"/>
        <n v="1586.0"/>
        <n v="1921.0"/>
        <n v="1755.0"/>
        <n v="1695.0"/>
        <n v="2061.0"/>
        <n v="2295.0"/>
        <n v="2539.0"/>
        <n v="2239.0"/>
        <n v="992.0"/>
        <n v="900.0"/>
        <n v="856.0"/>
        <n v="740.0"/>
        <n v="647.0"/>
        <n v="695.0"/>
        <n v="651.0"/>
        <n v="1016.0"/>
        <n v="888.0"/>
        <n v="743.0"/>
        <n v="930.0"/>
        <n v="938.0"/>
        <n v="823.0"/>
        <n v="690.0"/>
        <n v="795.0"/>
        <n v="696.0"/>
        <n v="733.0"/>
        <n v="1155.0"/>
        <n v="1020.0"/>
        <n v="691.0"/>
        <n v="848.0"/>
        <n v="768.0"/>
        <n v="703.0"/>
        <n v="1001.0"/>
        <n v="827.0"/>
        <n v="535.0"/>
        <n v="315.0"/>
        <n v="1450.0"/>
        <n v="203.0"/>
        <n v="711.0"/>
        <n v="225.0"/>
        <n v="538.0"/>
        <n v="652.0"/>
        <n v="664.0"/>
        <n v="381.0"/>
        <n v="1368.0"/>
        <n v="515.0"/>
        <n v="1054.0"/>
        <n v="384.0"/>
        <n v="1499.0"/>
        <n v="389.0"/>
        <n v="725.0"/>
        <n v="968.0"/>
        <n v="736.0"/>
        <n v="195.0"/>
        <n v="608.0"/>
        <n v="412.0"/>
        <n v="398.0"/>
        <n v="673.0"/>
        <n v="1868.0"/>
        <n v="1667.0"/>
        <n v="1412.0"/>
        <n v="1346.0"/>
        <n v="1080.0"/>
        <n v="1655.0"/>
        <n v="1454.0"/>
        <n v="1505.0"/>
        <n v="1678.0"/>
        <n v="1482.0"/>
        <n v="1447.0"/>
        <n v="802.0"/>
        <n v="1192.0"/>
        <n v="918.0"/>
        <n v="1374.0"/>
        <n v="1999.0"/>
        <n v="762.0"/>
        <n v="1738.0"/>
        <n v="1506.0"/>
        <n v="1680.0"/>
        <n v="1380.0"/>
        <n v="1435.0"/>
        <n v="1706.0"/>
        <n v="12251.0"/>
        <n v="12072.0"/>
        <n v="1879.0"/>
        <n v="1957.0"/>
        <n v="1701.0"/>
        <n v="13118.0"/>
        <n v="12987.0"/>
        <n v="10989.0"/>
        <n v="11137.0"/>
        <n v="13432.0"/>
        <n v="11884.0"/>
        <n v="11477.0"/>
        <n v="14299.0"/>
        <n v="13873.0"/>
        <n v="11194.0"/>
        <n v="13002.0"/>
        <n v="12834.0"/>
        <n v="12486.0"/>
        <n v="11532.0"/>
        <n v="11245.0"/>
        <n v="14163.0"/>
        <n v="16010.0"/>
        <n v="12056.0"/>
        <n v="12255.0"/>
        <n v="13566.0"/>
        <n v="13106.0"/>
        <n v="12517.0"/>
        <n v="11916.0"/>
        <n v="12299.0"/>
        <n v="12244.0"/>
        <n v="10467.0"/>
        <n v="10492.0"/>
        <n v="12697.0"/>
        <n v="10754.0"/>
        <n v="13510.0"/>
        <n v="13026.0"/>
        <n v="10862.0"/>
        <n v="12360.0"/>
        <n v="12428.0"/>
        <n v="11887.0"/>
        <n v="10803.0"/>
        <n v="12690.0"/>
        <n v="13751.0"/>
        <n v="13956.0"/>
        <n v="12518.0"/>
        <n v="15065.0"/>
        <n v="11954.0"/>
        <n v="11519.0"/>
        <n v="11865.0"/>
        <n v="12864.0"/>
        <n v="12604.0"/>
        <n v="11858.0"/>
        <n v="11427.0"/>
        <n v="575.0"/>
        <n v="12164.0"/>
        <n v="13551.0"/>
        <n v="11582.0"/>
        <n v="818.0"/>
        <n v="757.0"/>
        <n v="746.0"/>
        <n v="570.0"/>
        <n v="493.0"/>
        <n v="625.0"/>
        <n v="659.0"/>
        <n v="786.0"/>
        <n v="794.0"/>
        <n v="658.0"/>
        <n v="756.0"/>
        <n v="502.0"/>
        <n v="611.0"/>
        <n v="887.0"/>
        <n v="550.0"/>
        <n v="609.0"/>
        <n v="904.0"/>
        <n v="804.0"/>
        <n v="370.0"/>
        <n v="255.0"/>
        <n v="449.0"/>
        <n v="329.0"/>
        <n v="347.0"/>
        <n v="1893.0"/>
        <n v="1853.0"/>
        <n v="188.0"/>
        <n v="1101.0"/>
        <n v="911.0"/>
        <n v="1548.0"/>
        <n v="1742.0"/>
        <n v="1849.0"/>
        <n v="447.0"/>
        <n v="1917.0"/>
        <n v="4977.0"/>
        <n v="5533.0"/>
        <n v="5081.0"/>
        <n v="925.0"/>
        <n v="4483.0"/>
        <n v="4813.0"/>
        <n v="4372.0"/>
        <n v="4778.0"/>
        <n v="660.0"/>
        <n v="861.0"/>
        <n v="627.0"/>
        <n v="421.0"/>
        <n v="5319.0"/>
        <n v="565.0"/>
        <n v="545.0"/>
        <n v="770.0"/>
        <n v="1856.0"/>
        <n v="2054.0"/>
        <n v="1899.0"/>
        <n v="2270.0"/>
        <n v="1648.0"/>
        <n v="1475.0"/>
        <n v="1715.0"/>
        <n v="2000.0"/>
        <n v="15962.0"/>
        <n v="15804.0"/>
        <n v="15130.0"/>
        <n v="13167.0"/>
        <n v="14992.0"/>
        <n v="14738.0"/>
        <n v="16486.0"/>
        <n v="19897.0"/>
        <n v="19799.0"/>
        <n v="18935.0"/>
        <n v="16883.0"/>
        <n v="20676.0"/>
        <n v="19060.0"/>
        <n v="18812.0"/>
        <n v="20235.0"/>
        <n v="4584.0"/>
        <n v="4456.0"/>
        <n v="4352.0"/>
        <n v="3838.0"/>
        <n v="23974.0"/>
        <n v="4502.0"/>
        <n v="3950.0"/>
        <n v="4476.0"/>
        <n v="2216.0"/>
        <n v="2612.0"/>
        <n v="2296.0"/>
        <n v="1733.0"/>
        <n v="5198.0"/>
        <n v="1796.0"/>
        <n v="2045.0"/>
        <n v="2379.0"/>
        <n v="1077.0"/>
        <n v="1129.0"/>
        <n v="1042.0"/>
        <n v="714.0"/>
        <n v="816.0"/>
        <n v="777.0"/>
        <n v="867.0"/>
        <n v="702.0"/>
        <n v="792.0"/>
        <n v="895.0"/>
        <n v="585.0"/>
        <n v="1153.0"/>
        <n v="636.0"/>
        <n v="548.0"/>
        <n v="598.0"/>
        <n v="1697.0"/>
        <n v="1720.0"/>
        <n v="1389.0"/>
        <n v="859.0"/>
        <n v="1597.0"/>
        <n v="1487.0"/>
        <n v="1615.0"/>
        <n v="1896.0"/>
        <n v="12986.0"/>
        <n v="13027.0"/>
        <n v="11448.0"/>
        <n v="10407.0"/>
        <n v="11665.0"/>
        <n v="11178.0"/>
        <n v="12643.0"/>
        <n v="12216.0"/>
        <n v="12095.0"/>
        <n v="11071.0"/>
        <n v="9926.0"/>
        <n v="13386.0"/>
        <n v="11308.0"/>
        <n v="10554.0"/>
        <n v="11950.0"/>
        <n v="12943.0"/>
        <n v="224.0"/>
        <n v="564.0"/>
        <n v="765.0"/>
        <n v="735.0"/>
        <n v="718.0"/>
        <n v="175.0"/>
        <n v="411.0"/>
        <n v="418.0"/>
        <n v="893.0"/>
        <n v="824.0"/>
      </sharedItems>
    </cacheField>
    <cacheField name="Товарооборот на склад" numFmtId="0">
      <sharedItems containsSemiMixedTypes="0" containsString="0" containsNumber="1">
        <n v="41598.1"/>
        <n v="52473.4"/>
        <n v="42929.6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.0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.0"/>
        <n v="148273.5"/>
        <n v="157760.35714285713"/>
        <n v="125960.0"/>
        <n v="117724.42857142857"/>
        <n v="146237.325"/>
        <n v="165423.57142857142"/>
        <n v="196089.225"/>
        <n v="141388.65"/>
        <n v="244637.37096774194"/>
        <n v="219855.1935483871"/>
        <n v="218546.66129032258"/>
        <n v="202094.61290322582"/>
        <n v="214266.09677419355"/>
        <n v="231628.98387096773"/>
        <n v="179167.5"/>
        <n v="215369.66129032258"/>
        <n v="286871.7580645161"/>
        <n v="206398.74193548388"/>
        <n v="213995.0806451613"/>
        <n v="233792.75806451612"/>
        <n v="223268.2741935484"/>
        <n v="231085.3064516129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8"/>
        <n v="212641.40322580645"/>
        <n v="208097.8064516129"/>
        <n v="113050.65"/>
        <n v="93876.45"/>
        <n v="84372.75"/>
        <n v="104640.0"/>
        <n v="72889.05"/>
        <n v="79791.9"/>
        <n v="61788.15"/>
        <n v="98310.9"/>
        <n v="89113.95"/>
        <n v="73296.45"/>
        <n v="93552.3"/>
        <n v="103724.7"/>
        <n v="79332.0"/>
        <n v="86998.35"/>
        <n v="86571.45"/>
        <n v="242343.43548387097"/>
        <n v="63788.1"/>
        <n v="295635.72580645164"/>
        <n v="69683.25"/>
        <n v="124138.35"/>
        <n v="214244.17741935485"/>
        <n v="103044.0"/>
        <n v="71619.6"/>
        <n v="100478.85"/>
        <n v="95970.3"/>
        <n v="86375.4"/>
        <n v="82898.4"/>
        <n v="104551.5"/>
        <n v="126048.3"/>
        <n v="111455.25"/>
        <n v="169606.18421052632"/>
        <n v="150807.23684210525"/>
        <n v="141804.7105263158"/>
        <n v="152745.63157894736"/>
        <n v="128998.34210526316"/>
        <n v="133199.33333333334"/>
        <n v="94696.34210526316"/>
        <n v="145370.55"/>
        <n v="124966.1052631579"/>
        <n v="124759.57894736843"/>
        <n v="150167.44736842104"/>
        <n v="141696.31578947368"/>
        <n v="109468.42105263157"/>
        <n v="125695.14705882352"/>
        <n v="124912.5"/>
        <n v="114226.81578947368"/>
        <n v="117501.0"/>
        <n v="169268.625"/>
        <n v="143286.375"/>
        <n v="119350.73684210527"/>
        <n v="150647.2894736842"/>
        <n v="119550.23684210527"/>
        <n v="123719.6052631579"/>
        <n v="145776.675"/>
        <n v="149599.95"/>
        <n v="182708.325"/>
        <n v="150210.675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1"/>
        <n v="227664.8962593023"/>
        <n v="211460.78406976743"/>
        <n v="227804.94140625"/>
        <n v="205174.05813953487"/>
        <n v="220364.3488372093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"/>
        <n v="296185.944"/>
        <n v="294676.536"/>
        <n v="309547.416"/>
        <n v="307255.632"/>
        <n v="332475.072"/>
        <n v="254749.896"/>
        <n v="309402.90725806454"/>
        <n v="320617.548"/>
        <n v="316628.616"/>
        <n v="303217.25256"/>
        <n v="317114.472"/>
        <n v="285373.872"/>
        <n v="319344.228"/>
        <n v="297576.924"/>
        <n v="227347.02325581395"/>
        <n v="293055.996"/>
        <n v="276934.0581395349"/>
        <n v="304738.752"/>
        <n v="371264.64"/>
        <n v="218224.84302325582"/>
        <n v="297447.0"/>
        <n v="344229.876"/>
        <n v="312087.0"/>
        <n v="392985.444"/>
        <n v="270111.912"/>
        <n v="305531.052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3"/>
        <n v="172814.45833333334"/>
        <n v="373958.9032258064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3"/>
        <n v="169187.5"/>
        <n v="151959.7857142857"/>
        <n v="146899.64285714287"/>
        <n v="140892.675"/>
        <n v="138294.47368421053"/>
        <n v="123523.275"/>
        <n v="176205.2857142857"/>
        <n v="214662.075"/>
        <n v="146695.92857142858"/>
        <n v="181447.35714285713"/>
        <n v="186618.42857142858"/>
        <n v="132434.4"/>
        <n v="150715.81578947368"/>
        <n v="156574.7142857143"/>
        <n v="175698.6081081081"/>
        <n v="136000.125"/>
        <n v="245902.33783783784"/>
        <n v="136906.35"/>
        <n v="184915.0"/>
        <n v="164917.05405405405"/>
        <n v="169602.64285714287"/>
        <n v="142665.525"/>
        <n v="169004.64285714287"/>
        <n v="152445.64285714287"/>
        <n v="139738.2857142857"/>
        <n v="164252.5"/>
        <n v="173658.84782608695"/>
        <n v="202565.52272727274"/>
        <n v="176985.47727272726"/>
        <n v="106761.7"/>
        <n v="85302.9375"/>
        <n v="91838.5"/>
        <n v="81528.8"/>
        <n v="72347.4"/>
        <n v="74399.5"/>
        <n v="70214.7"/>
        <n v="87596.0294117647"/>
        <n v="97722.8"/>
        <n v="74922.0"/>
        <n v="81220.67647058824"/>
        <n v="89390.90625"/>
        <n v="92278.6"/>
        <n v="73525.8"/>
        <n v="82900.5"/>
        <n v="74667.3"/>
        <n v="81403.8"/>
        <n v="109058.91176470589"/>
        <n v="88698.08823529411"/>
        <n v="73537.9"/>
        <n v="98102.5"/>
        <n v="84652.4"/>
        <n v="74926.3"/>
        <n v="91064.64705882352"/>
        <n v="81002.2"/>
        <n v="93536.5"/>
        <n v="70699.3"/>
        <n v="72081.1"/>
        <n v="40723.7"/>
        <n v="131161.91666666666"/>
        <n v="28882.9"/>
        <n v="76803.6"/>
        <n v="33704.8"/>
        <n v="65975.5"/>
        <n v="73574.9"/>
        <n v="73657.2"/>
        <n v="46306.2"/>
        <n v="126504.0"/>
        <n v="63327.5"/>
        <n v="93654.08823529411"/>
        <n v="44353.5"/>
        <n v="144544.23529411765"/>
        <n v="49286.1"/>
        <n v="87671.7"/>
        <n v="87525.17647058824"/>
        <n v="82045.8"/>
        <n v="26979.4"/>
        <n v="79885.7"/>
        <n v="53250.6"/>
        <n v="51285.1"/>
        <n v="78991.0"/>
        <n v="153835.97368421053"/>
        <n v="128764.73684210527"/>
        <n v="128191.18421052632"/>
        <n v="125523.0"/>
        <n v="113456.21052631579"/>
        <n v="88571.13157894737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9"/>
        <n v="100568.15625"/>
        <n v="113650.02631578948"/>
        <n v="162586.34210526315"/>
        <n v="77484.1875"/>
        <n v="125640.15"/>
        <n v="134741.05263157896"/>
        <n v="145645.81578947368"/>
        <n v="117682.1052631579"/>
        <n v="121491.3947368421"/>
        <n v="132995.2105263158"/>
        <n v="366361.57627118647"/>
        <n v="357879.63559322036"/>
        <n v="133063.07142857142"/>
        <n v="150266.7"/>
        <n v="127960.575"/>
        <n v="394823.05"/>
        <n v="365764.3"/>
        <n v="325773.1"/>
        <n v="325739.5169491525"/>
        <n v="411732.5084745763"/>
        <n v="386507.25"/>
        <n v="332633.28813559323"/>
        <n v="426498.83898305084"/>
        <n v="430734.76271186443"/>
        <n v="320086.325"/>
        <n v="370888.25"/>
        <n v="365988.1"/>
        <n v="371515.8559322034"/>
        <n v="370430.80555555556"/>
        <n v="323954.55"/>
        <n v="449021.66949152545"/>
        <n v="390389.69491525425"/>
        <n v="476515.175"/>
        <n v="348860.0593220339"/>
        <n v="381864.406779661"/>
        <n v="421871.26271186443"/>
        <n v="404778.78813559323"/>
        <n v="380680.16949152545"/>
        <n v="332663.35"/>
        <n v="413987.75"/>
        <n v="381297.6388888889"/>
        <n v="341649.8333333333"/>
        <n v="334922.19444444444"/>
        <n v="422163.47222222225"/>
        <n v="344924.47222222225"/>
        <n v="441784.1666666667"/>
        <n v="443584.0"/>
        <n v="346630.30555555556"/>
        <n v="389679.1388888889"/>
        <n v="396506.47222222225"/>
        <n v="386669.30555555556"/>
        <n v="347851.8611111111"/>
        <n v="365852.8220338983"/>
        <n v="472575.4166666667"/>
        <n v="415716.0254237288"/>
        <n v="409748.97222222225"/>
        <n v="496419.0"/>
        <n v="342262.225"/>
        <n v="366794.94444444444"/>
        <n v="402601.1111111111"/>
        <n v="434143.05555555556"/>
        <n v="423075.52777777775"/>
        <n v="397463.3888888889"/>
        <n v="353168.8333333333"/>
        <n v="65434.6"/>
        <n v="66169.4"/>
        <n v="383652.75"/>
        <n v="447258.8888888889"/>
        <n v="362019.19444444444"/>
        <n v="82271.90625"/>
        <n v="66282.9705882353"/>
        <n v="72345.5625"/>
        <n v="63720.1"/>
        <n v="60422.9"/>
        <n v="54457.3"/>
        <n v="119116.5"/>
        <n v="75629.6"/>
        <n v="72818.5"/>
        <n v="65143.0"/>
        <n v="71632.32352941176"/>
        <n v="76371.7"/>
        <n v="78179.4"/>
        <n v="54410.0"/>
        <n v="67771.1"/>
        <n v="80966.16666666667"/>
        <n v="73705.83333333333"/>
        <n v="66967.4"/>
        <n v="81103.8"/>
        <n v="69789.9"/>
        <n v="64392.0"/>
        <n v="77014.58333333333"/>
        <n v="67247.58333333333"/>
        <n v="42423.0"/>
        <n v="54877.0"/>
        <n v="132667.92857142858"/>
        <n v="43415.8"/>
        <n v="99238.5"/>
        <n v="150787.575"/>
        <n v="147193.7857142857"/>
        <n v="78139.25"/>
        <n v="118066.5"/>
        <n v="98508.58333333333"/>
        <n v="77080.16666666667"/>
        <n v="134589.5"/>
        <n v="128720.57142857143"/>
        <n v="144680.64285714287"/>
        <n v="140239.7857142857"/>
        <n v="123717.64285714286"/>
        <n v="159658.35"/>
        <n v="216163.98387096773"/>
        <n v="249305.32258064515"/>
        <n v="220320.0483870968"/>
        <n v="79078.33333333333"/>
        <n v="206410.3064516129"/>
        <n v="213216.5806451613"/>
        <n v="195279.0"/>
        <n v="221821.11290322582"/>
        <n v="105479.85"/>
        <n v="145504.95"/>
        <n v="100774.2"/>
        <n v="73433.55"/>
        <n v="238294.06451612903"/>
        <n v="93642.75"/>
        <n v="98156.4"/>
        <n v="115057.95"/>
        <n v="127346.4"/>
        <n v="146206.65"/>
        <n v="170709.0"/>
        <n v="150675.6"/>
        <n v="205893.63157894736"/>
        <n v="136218.31578947368"/>
        <n v="128501.05263157895"/>
        <n v="155214.63157894736"/>
        <n v="162902.7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"/>
        <n v="302909.26976707316"/>
        <n v="270252.648"/>
        <n v="323776.27988372097"/>
        <n v="295015.104"/>
        <n v="303705.204"/>
        <n v="338171.016"/>
        <n v="166274.83333333334"/>
        <n v="165096.91666666666"/>
        <n v="156764.5945945946"/>
        <n v="143838.04166666666"/>
        <n v="436871.2016129032"/>
        <n v="161068.79166666666"/>
        <n v="149072.29166666666"/>
        <n v="174832.0"/>
        <n v="180040.57142857142"/>
        <n v="230515.85714285713"/>
        <n v="168054.39130434784"/>
        <n v="146649.07142857142"/>
        <n v="195362.02702702704"/>
        <n v="160006.42857142858"/>
        <n v="150784.7142857143"/>
        <n v="179631.35714285713"/>
        <n v="186754.36363636365"/>
        <n v="94299.08823529411"/>
        <n v="104372.29411764706"/>
        <n v="89800.5"/>
        <n v="73066.8"/>
        <n v="77885.15625"/>
        <n v="81566.1"/>
        <n v="91365.5"/>
        <n v="80763.8"/>
        <n v="94127.3"/>
        <n v="97852.03125"/>
        <n v="72077.2"/>
        <n v="103804.05882352941"/>
        <n v="74343.1"/>
        <n v="64233.5"/>
        <n v="74848.7"/>
        <n v="122927.775"/>
        <n v="133721.84210526315"/>
        <n v="120903.21428571429"/>
        <n v="113913.94736842105"/>
        <n v="96813.75"/>
        <n v="122341.57894736843"/>
        <n v="117123.23684210527"/>
        <n v="130394.05263157895"/>
        <n v="142737.075"/>
        <n v="378683.0593220339"/>
        <n v="373012.875"/>
        <n v="329921.5677966102"/>
        <n v="298652.4"/>
        <n v="340373.925"/>
        <n v="332373.925"/>
        <n v="384753.7"/>
        <n v="388024.52777777775"/>
        <n v="385418.25"/>
        <n v="350262.8611111111"/>
        <n v="314282.05555555556"/>
        <n v="391871.92372881353"/>
        <n v="367687.44444444444"/>
        <n v="345203.6666666667"/>
        <n v="405468.4166666667"/>
        <n v="415113.9166666667"/>
        <n v="98240.57142857143"/>
        <n v="77709.5"/>
        <n v="43223.666666666664"/>
        <n v="58690.4"/>
        <n v="76919.4375"/>
        <n v="70729.78125"/>
        <n v="68190.0"/>
        <n v="75011.08333333333"/>
        <n v="68482.0"/>
        <n v="121548.64285714286"/>
        <n v="114635.35714285714"/>
        <n v="79903.08333333333"/>
        <n v="71845.5"/>
      </sharedItems>
    </cacheField>
    <cacheField name="Неделя" numFmtId="0">
      <sharedItems containsSemiMixedTypes="0" containsString="0" containsNumber="1" containsInteger="1">
        <n v="22.0"/>
        <n v="20.0"/>
        <n v="21.0"/>
        <n v="19.0"/>
        <n v="18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rowGrandTotals="0" colGrandTotals="0" compact="0" compactData="0">
  <location ref="A3:AK11" firstHeaderRow="0" firstDataRow="2" firstDataCol="1" rowPageCount="1" colPageCount="1"/>
  <pivotFields>
    <pivotField name="Дата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Территория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Товарооборот, ш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name="Товарооборот, руб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Количество склад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Количество заказ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t="default"/>
      </items>
    </pivotField>
    <pivotField name="Количество клиентов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Товарооборот на склад" axis="axisP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Неделя" axis="axisRow" compact="0" outline="0" multipleItemSelectionAllowed="1" showAll="0" sortType="descending">
      <items>
        <item x="5"/>
        <item x="0"/>
        <item x="2"/>
        <item x="1"/>
        <item x="3"/>
        <item x="4"/>
        <item t="default"/>
      </items>
    </pivotField>
  </pivotFields>
  <rowFields>
    <field x="8"/>
  </rowFields>
  <colFields>
    <field x="1"/>
    <field x="-2"/>
  </colFields>
  <pageFields>
    <pageField fld="7"/>
  </pageFields>
  <dataFields>
    <dataField name="SUM of Товарооборот на склад" fld="7" showDataAs="percentOfRow" baseField="0" numFmtId="10"/>
    <dataField name="SUM of Товарооборот, руб" fld="3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3.43"/>
    <col customWidth="1" min="9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4.25" customHeight="1">
      <c r="A2" s="5">
        <v>43982.0</v>
      </c>
      <c r="B2" s="6" t="s">
        <v>9</v>
      </c>
      <c r="C2" s="6">
        <v>7944.0</v>
      </c>
      <c r="D2" s="6">
        <v>623971.5</v>
      </c>
      <c r="E2" s="7">
        <f>SUMIFS('Лист2'!C:C, 'Лист2'!A:A, A2, 'Лист2'!B:B, B2)</f>
        <v>15</v>
      </c>
      <c r="F2" s="7">
        <f>SUMIFS('Лист2'!D:D, 'Лист2'!A:A, A2, 'Лист2'!B:B, B2)</f>
        <v>441</v>
      </c>
      <c r="G2" s="7">
        <f>SUMIFS('Лист2'!E:E, 'Лист2'!A:A, A2, 'Лист2'!B:B, B2)</f>
        <v>368</v>
      </c>
      <c r="H2" s="8">
        <f t="shared" ref="H2:H505" si="1">D2/E2</f>
        <v>41598.1</v>
      </c>
      <c r="I2" s="8">
        <f t="shared" ref="I2:I505" si="2">WEEKNUM(A2,2)</f>
        <v>22</v>
      </c>
    </row>
    <row r="3" ht="14.25" customHeight="1">
      <c r="A3" s="9">
        <v>43981.0</v>
      </c>
      <c r="B3" s="10" t="s">
        <v>9</v>
      </c>
      <c r="C3" s="10">
        <v>10029.0</v>
      </c>
      <c r="D3" s="10">
        <v>787101.0</v>
      </c>
      <c r="E3" s="7">
        <f>SUMIFS('Лист2'!C:C, 'Лист2'!A:A, A3, 'Лист2'!B:B, B3)</f>
        <v>15</v>
      </c>
      <c r="F3" s="7">
        <f>SUMIFS('Лист2'!D:D, 'Лист2'!A:A, A3, 'Лист2'!B:B, B3)</f>
        <v>490</v>
      </c>
      <c r="G3" s="7">
        <f>SUMIFS('Лист2'!E:E, 'Лист2'!A:A, A3, 'Лист2'!B:B, B3)</f>
        <v>409</v>
      </c>
      <c r="H3" s="8">
        <f t="shared" si="1"/>
        <v>52473.4</v>
      </c>
      <c r="I3" s="8">
        <f t="shared" si="2"/>
        <v>22</v>
      </c>
    </row>
    <row r="4" ht="14.25" customHeight="1">
      <c r="A4" s="5">
        <v>43979.0</v>
      </c>
      <c r="B4" s="6" t="s">
        <v>9</v>
      </c>
      <c r="C4" s="6">
        <v>8536.5</v>
      </c>
      <c r="D4" s="6">
        <v>643944.0</v>
      </c>
      <c r="E4" s="7">
        <f>SUMIFS('Лист2'!C:C, 'Лист2'!A:A, A4, 'Лист2'!B:B, B4)</f>
        <v>15</v>
      </c>
      <c r="F4" s="7">
        <f>SUMIFS('Лист2'!D:D, 'Лист2'!A:A, A4, 'Лист2'!B:B, B4)</f>
        <v>464</v>
      </c>
      <c r="G4" s="7">
        <f>SUMIFS('Лист2'!E:E, 'Лист2'!A:A, A4, 'Лист2'!B:B, B4)</f>
        <v>390</v>
      </c>
      <c r="H4" s="8">
        <f t="shared" si="1"/>
        <v>42929.6</v>
      </c>
      <c r="I4" s="8">
        <f t="shared" si="2"/>
        <v>22</v>
      </c>
    </row>
    <row r="5" ht="14.25" customHeight="1">
      <c r="A5" s="9">
        <v>43967.0</v>
      </c>
      <c r="B5" s="10" t="s">
        <v>10</v>
      </c>
      <c r="C5" s="10">
        <v>38947.5</v>
      </c>
      <c r="D5" s="10">
        <v>3395892.0</v>
      </c>
      <c r="E5" s="7">
        <f>SUMIFS('Лист2'!C:C, 'Лист2'!A:A, A5, 'Лист2'!B:B, B5)</f>
        <v>21</v>
      </c>
      <c r="F5" s="7">
        <f>SUMIFS('Лист2'!D:D, 'Лист2'!A:A, A5, 'Лист2'!B:B, B5)</f>
        <v>2145</v>
      </c>
      <c r="G5" s="7">
        <f>SUMIFS('Лист2'!E:E, 'Лист2'!A:A, A5, 'Лист2'!B:B, B5)</f>
        <v>1947</v>
      </c>
      <c r="H5" s="8">
        <f t="shared" si="1"/>
        <v>161709.1429</v>
      </c>
      <c r="I5" s="8">
        <f t="shared" si="2"/>
        <v>20</v>
      </c>
    </row>
    <row r="6" ht="14.25" customHeight="1">
      <c r="A6" s="5">
        <v>43970.0</v>
      </c>
      <c r="B6" s="6" t="s">
        <v>10</v>
      </c>
      <c r="C6" s="6">
        <v>31842.0</v>
      </c>
      <c r="D6" s="6">
        <v>2771116.5</v>
      </c>
      <c r="E6" s="7">
        <f>SUMIFS('Лист2'!C:C, 'Лист2'!A:A, A6, 'Лист2'!B:B, B6)</f>
        <v>21</v>
      </c>
      <c r="F6" s="7">
        <f>SUMIFS('Лист2'!D:D, 'Лист2'!A:A, A6, 'Лист2'!B:B, B6)</f>
        <v>1860</v>
      </c>
      <c r="G6" s="7">
        <f>SUMIFS('Лист2'!E:E, 'Лист2'!A:A, A6, 'Лист2'!B:B, B6)</f>
        <v>1704</v>
      </c>
      <c r="H6" s="8">
        <f t="shared" si="1"/>
        <v>131957.9286</v>
      </c>
      <c r="I6" s="8">
        <f t="shared" si="2"/>
        <v>21</v>
      </c>
    </row>
    <row r="7" ht="14.25" customHeight="1">
      <c r="A7" s="9">
        <v>43968.0</v>
      </c>
      <c r="B7" s="10" t="s">
        <v>10</v>
      </c>
      <c r="C7" s="10">
        <v>32023.5</v>
      </c>
      <c r="D7" s="10">
        <v>2882458.5</v>
      </c>
      <c r="E7" s="7">
        <f>SUMIFS('Лист2'!C:C, 'Лист2'!A:A, A7, 'Лист2'!B:B, B7)</f>
        <v>21</v>
      </c>
      <c r="F7" s="7">
        <f>SUMIFS('Лист2'!D:D, 'Лист2'!A:A, A7, 'Лист2'!B:B, B7)</f>
        <v>1874</v>
      </c>
      <c r="G7" s="7">
        <f>SUMIFS('Лист2'!E:E, 'Лист2'!A:A, A7, 'Лист2'!B:B, B7)</f>
        <v>1705</v>
      </c>
      <c r="H7" s="8">
        <f t="shared" si="1"/>
        <v>137259.9286</v>
      </c>
      <c r="I7" s="8">
        <f t="shared" si="2"/>
        <v>20</v>
      </c>
    </row>
    <row r="8" ht="14.25" customHeight="1">
      <c r="A8" s="5">
        <v>43960.0</v>
      </c>
      <c r="B8" s="6" t="s">
        <v>10</v>
      </c>
      <c r="C8" s="6">
        <v>31147.5</v>
      </c>
      <c r="D8" s="6">
        <v>2831019.0</v>
      </c>
      <c r="E8" s="7">
        <f>SUMIFS('Лист2'!C:C, 'Лист2'!A:A, A8, 'Лист2'!B:B, B8)</f>
        <v>21</v>
      </c>
      <c r="F8" s="7">
        <f>SUMIFS('Лист2'!D:D, 'Лист2'!A:A, A8, 'Лист2'!B:B, B8)</f>
        <v>1735</v>
      </c>
      <c r="G8" s="7">
        <f>SUMIFS('Лист2'!E:E, 'Лист2'!A:A, A8, 'Лист2'!B:B, B8)</f>
        <v>1568</v>
      </c>
      <c r="H8" s="8">
        <f t="shared" si="1"/>
        <v>134810.4286</v>
      </c>
      <c r="I8" s="8">
        <f t="shared" si="2"/>
        <v>19</v>
      </c>
    </row>
    <row r="9" ht="14.25" customHeight="1">
      <c r="A9" s="9">
        <v>43955.0</v>
      </c>
      <c r="B9" s="10" t="s">
        <v>10</v>
      </c>
      <c r="C9" s="10">
        <v>25566.0</v>
      </c>
      <c r="D9" s="10">
        <v>2372310.0</v>
      </c>
      <c r="E9" s="7">
        <f>SUMIFS('Лист2'!C:C, 'Лист2'!A:A, A9, 'Лист2'!B:B, B9)</f>
        <v>20</v>
      </c>
      <c r="F9" s="7">
        <f>SUMIFS('Лист2'!D:D, 'Лист2'!A:A, A9, 'Лист2'!B:B, B9)</f>
        <v>1519</v>
      </c>
      <c r="G9" s="7">
        <f>SUMIFS('Лист2'!E:E, 'Лист2'!A:A, A9, 'Лист2'!B:B, B9)</f>
        <v>1372</v>
      </c>
      <c r="H9" s="8">
        <f t="shared" si="1"/>
        <v>118615.5</v>
      </c>
      <c r="I9" s="8">
        <f t="shared" si="2"/>
        <v>19</v>
      </c>
    </row>
    <row r="10" ht="14.25" customHeight="1">
      <c r="A10" s="5">
        <v>43950.0</v>
      </c>
      <c r="B10" s="6" t="s">
        <v>10</v>
      </c>
      <c r="C10" s="6">
        <v>29319.0</v>
      </c>
      <c r="D10" s="6">
        <v>2623480.5</v>
      </c>
      <c r="E10" s="7">
        <f>SUMIFS('Лист2'!C:C, 'Лист2'!A:A, A10, 'Лист2'!B:B, B10)</f>
        <v>18</v>
      </c>
      <c r="F10" s="7">
        <f>SUMIFS('Лист2'!D:D, 'Лист2'!A:A, A10, 'Лист2'!B:B, B10)</f>
        <v>1684</v>
      </c>
      <c r="G10" s="7">
        <f>SUMIFS('Лист2'!E:E, 'Лист2'!A:A, A10, 'Лист2'!B:B, B10)</f>
        <v>1528</v>
      </c>
      <c r="H10" s="8">
        <f t="shared" si="1"/>
        <v>145748.9167</v>
      </c>
      <c r="I10" s="8">
        <f t="shared" si="2"/>
        <v>18</v>
      </c>
    </row>
    <row r="11" ht="14.25" customHeight="1">
      <c r="A11" s="9">
        <v>43953.0</v>
      </c>
      <c r="B11" s="10" t="s">
        <v>10</v>
      </c>
      <c r="C11" s="10">
        <v>29031.0</v>
      </c>
      <c r="D11" s="10">
        <v>2711247.0</v>
      </c>
      <c r="E11" s="7">
        <f>SUMIFS('Лист2'!C:C, 'Лист2'!A:A, A11, 'Лист2'!B:B, B11)</f>
        <v>18</v>
      </c>
      <c r="F11" s="7">
        <f>SUMIFS('Лист2'!D:D, 'Лист2'!A:A, A11, 'Лист2'!B:B, B11)</f>
        <v>1708</v>
      </c>
      <c r="G11" s="7">
        <f>SUMIFS('Лист2'!E:E, 'Лист2'!A:A, A11, 'Лист2'!B:B, B11)</f>
        <v>1534</v>
      </c>
      <c r="H11" s="8">
        <f t="shared" si="1"/>
        <v>150624.8333</v>
      </c>
      <c r="I11" s="8">
        <f t="shared" si="2"/>
        <v>18</v>
      </c>
    </row>
    <row r="12" ht="14.25" customHeight="1">
      <c r="A12" s="5">
        <v>43977.0</v>
      </c>
      <c r="B12" s="6" t="s">
        <v>10</v>
      </c>
      <c r="C12" s="6">
        <v>33423.0</v>
      </c>
      <c r="D12" s="6">
        <v>2970330.0</v>
      </c>
      <c r="E12" s="7">
        <f>SUMIFS('Лист2'!C:C, 'Лист2'!A:A, A12, 'Лист2'!B:B, B12)</f>
        <v>20</v>
      </c>
      <c r="F12" s="7">
        <f>SUMIFS('Лист2'!D:D, 'Лист2'!A:A, A12, 'Лист2'!B:B, B12)</f>
        <v>2044</v>
      </c>
      <c r="G12" s="7">
        <f>SUMIFS('Лист2'!E:E, 'Лист2'!A:A, A12, 'Лист2'!B:B, B12)</f>
        <v>1863</v>
      </c>
      <c r="H12" s="8">
        <f t="shared" si="1"/>
        <v>148516.5</v>
      </c>
      <c r="I12" s="8">
        <f t="shared" si="2"/>
        <v>22</v>
      </c>
    </row>
    <row r="13" ht="14.25" customHeight="1">
      <c r="A13" s="9">
        <v>43952.0</v>
      </c>
      <c r="B13" s="10" t="s">
        <v>10</v>
      </c>
      <c r="C13" s="10">
        <v>32487.0</v>
      </c>
      <c r="D13" s="10">
        <v>3031254.0</v>
      </c>
      <c r="E13" s="7">
        <f>SUMIFS('Лист2'!C:C, 'Лист2'!A:A, A13, 'Лист2'!B:B, B13)</f>
        <v>18</v>
      </c>
      <c r="F13" s="7">
        <f>SUMIFS('Лист2'!D:D, 'Лист2'!A:A, A13, 'Лист2'!B:B, B13)</f>
        <v>1826</v>
      </c>
      <c r="G13" s="7">
        <f>SUMIFS('Лист2'!E:E, 'Лист2'!A:A, A13, 'Лист2'!B:B, B13)</f>
        <v>1633</v>
      </c>
      <c r="H13" s="8">
        <f t="shared" si="1"/>
        <v>168403</v>
      </c>
      <c r="I13" s="8">
        <f t="shared" si="2"/>
        <v>18</v>
      </c>
    </row>
    <row r="14" ht="14.25" customHeight="1">
      <c r="A14" s="5">
        <v>43963.0</v>
      </c>
      <c r="B14" s="6" t="s">
        <v>10</v>
      </c>
      <c r="C14" s="6">
        <v>28219.5</v>
      </c>
      <c r="D14" s="6">
        <v>2595778.5</v>
      </c>
      <c r="E14" s="7">
        <f>SUMIFS('Лист2'!C:C, 'Лист2'!A:A, A14, 'Лист2'!B:B, B14)</f>
        <v>21</v>
      </c>
      <c r="F14" s="7">
        <f>SUMIFS('Лист2'!D:D, 'Лист2'!A:A, A14, 'Лист2'!B:B, B14)</f>
        <v>1656</v>
      </c>
      <c r="G14" s="7">
        <f>SUMIFS('Лист2'!E:E, 'Лист2'!A:A, A14, 'Лист2'!B:B, B14)</f>
        <v>1516</v>
      </c>
      <c r="H14" s="8">
        <f t="shared" si="1"/>
        <v>123608.5</v>
      </c>
      <c r="I14" s="8">
        <f t="shared" si="2"/>
        <v>20</v>
      </c>
    </row>
    <row r="15" ht="14.25" customHeight="1">
      <c r="A15" s="9">
        <v>43972.0</v>
      </c>
      <c r="B15" s="10" t="s">
        <v>10</v>
      </c>
      <c r="C15" s="10">
        <v>31272.0</v>
      </c>
      <c r="D15" s="10">
        <v>2744382.0</v>
      </c>
      <c r="E15" s="7">
        <f>SUMIFS('Лист2'!C:C, 'Лист2'!A:A, A15, 'Лист2'!B:B, B15)</f>
        <v>21</v>
      </c>
      <c r="F15" s="7">
        <f>SUMIFS('Лист2'!D:D, 'Лист2'!A:A, A15, 'Лист2'!B:B, B15)</f>
        <v>1787</v>
      </c>
      <c r="G15" s="7">
        <f>SUMIFS('Лист2'!E:E, 'Лист2'!A:A, A15, 'Лист2'!B:B, B15)</f>
        <v>1626</v>
      </c>
      <c r="H15" s="8">
        <f t="shared" si="1"/>
        <v>130684.8571</v>
      </c>
      <c r="I15" s="8">
        <f t="shared" si="2"/>
        <v>21</v>
      </c>
    </row>
    <row r="16" ht="14.25" customHeight="1">
      <c r="A16" s="5">
        <v>43971.0</v>
      </c>
      <c r="B16" s="6" t="s">
        <v>10</v>
      </c>
      <c r="C16" s="6">
        <v>34077.0</v>
      </c>
      <c r="D16" s="6">
        <v>2929330.5</v>
      </c>
      <c r="E16" s="7">
        <f>SUMIFS('Лист2'!C:C, 'Лист2'!A:A, A16, 'Лист2'!B:B, B16)</f>
        <v>21</v>
      </c>
      <c r="F16" s="7">
        <f>SUMIFS('Лист2'!D:D, 'Лист2'!A:A, A16, 'Лист2'!B:B, B16)</f>
        <v>1921</v>
      </c>
      <c r="G16" s="7">
        <f>SUMIFS('Лист2'!E:E, 'Лист2'!A:A, A16, 'Лист2'!B:B, B16)</f>
        <v>1767</v>
      </c>
      <c r="H16" s="8">
        <f t="shared" si="1"/>
        <v>139491.9286</v>
      </c>
      <c r="I16" s="8">
        <f t="shared" si="2"/>
        <v>21</v>
      </c>
    </row>
    <row r="17" ht="14.25" customHeight="1">
      <c r="A17" s="9">
        <v>43956.0</v>
      </c>
      <c r="B17" s="10" t="s">
        <v>10</v>
      </c>
      <c r="C17" s="10">
        <v>31566.0</v>
      </c>
      <c r="D17" s="10">
        <v>2906763.0</v>
      </c>
      <c r="E17" s="7">
        <f>SUMIFS('Лист2'!C:C, 'Лист2'!A:A, A17, 'Лист2'!B:B, B17)</f>
        <v>20</v>
      </c>
      <c r="F17" s="7">
        <f>SUMIFS('Лист2'!D:D, 'Лист2'!A:A, A17, 'Лист2'!B:B, B17)</f>
        <v>1773</v>
      </c>
      <c r="G17" s="7">
        <f>SUMIFS('Лист2'!E:E, 'Лист2'!A:A, A17, 'Лист2'!B:B, B17)</f>
        <v>1604</v>
      </c>
      <c r="H17" s="8">
        <f t="shared" si="1"/>
        <v>145338.15</v>
      </c>
      <c r="I17" s="8">
        <f t="shared" si="2"/>
        <v>19</v>
      </c>
    </row>
    <row r="18" ht="14.25" customHeight="1">
      <c r="A18" s="5">
        <v>43949.0</v>
      </c>
      <c r="B18" s="6" t="s">
        <v>10</v>
      </c>
      <c r="C18" s="6">
        <v>26940.0</v>
      </c>
      <c r="D18" s="6">
        <v>2411587.5</v>
      </c>
      <c r="E18" s="7">
        <f>SUMIFS('Лист2'!C:C, 'Лист2'!A:A, A18, 'Лист2'!B:B, B18)</f>
        <v>18</v>
      </c>
      <c r="F18" s="7">
        <f>SUMIFS('Лист2'!D:D, 'Лист2'!A:A, A18, 'Лист2'!B:B, B18)</f>
        <v>1539</v>
      </c>
      <c r="G18" s="7">
        <f>SUMIFS('Лист2'!E:E, 'Лист2'!A:A, A18, 'Лист2'!B:B, B18)</f>
        <v>1404</v>
      </c>
      <c r="H18" s="8">
        <f t="shared" si="1"/>
        <v>133977.0833</v>
      </c>
      <c r="I18" s="8">
        <f t="shared" si="2"/>
        <v>18</v>
      </c>
    </row>
    <row r="19" ht="14.25" customHeight="1">
      <c r="A19" s="9">
        <v>43964.0</v>
      </c>
      <c r="B19" s="10" t="s">
        <v>10</v>
      </c>
      <c r="C19" s="10">
        <v>29241.0</v>
      </c>
      <c r="D19" s="10">
        <v>2629782.0</v>
      </c>
      <c r="E19" s="7">
        <f>SUMIFS('Лист2'!C:C, 'Лист2'!A:A, A19, 'Лист2'!B:B, B19)</f>
        <v>21</v>
      </c>
      <c r="F19" s="7">
        <f>SUMIFS('Лист2'!D:D, 'Лист2'!A:A, A19, 'Лист2'!B:B, B19)</f>
        <v>1698</v>
      </c>
      <c r="G19" s="7">
        <f>SUMIFS('Лист2'!E:E, 'Лист2'!A:A, A19, 'Лист2'!B:B, B19)</f>
        <v>1554</v>
      </c>
      <c r="H19" s="8">
        <f t="shared" si="1"/>
        <v>125227.7143</v>
      </c>
      <c r="I19" s="8">
        <f t="shared" si="2"/>
        <v>20</v>
      </c>
    </row>
    <row r="20" ht="14.25" customHeight="1">
      <c r="A20" s="5">
        <v>43954.0</v>
      </c>
      <c r="B20" s="6" t="s">
        <v>10</v>
      </c>
      <c r="C20" s="6">
        <v>26082.0</v>
      </c>
      <c r="D20" s="6">
        <v>2434914.0</v>
      </c>
      <c r="E20" s="7">
        <f>SUMIFS('Лист2'!C:C, 'Лист2'!A:A, A20, 'Лист2'!B:B, B20)</f>
        <v>20</v>
      </c>
      <c r="F20" s="7">
        <f>SUMIFS('Лист2'!D:D, 'Лист2'!A:A, A20, 'Лист2'!B:B, B20)</f>
        <v>1520</v>
      </c>
      <c r="G20" s="7">
        <f>SUMIFS('Лист2'!E:E, 'Лист2'!A:A, A20, 'Лист2'!B:B, B20)</f>
        <v>1373</v>
      </c>
      <c r="H20" s="8">
        <f t="shared" si="1"/>
        <v>121745.7</v>
      </c>
      <c r="I20" s="8">
        <f t="shared" si="2"/>
        <v>18</v>
      </c>
    </row>
    <row r="21" ht="14.25" customHeight="1">
      <c r="A21" s="9">
        <v>43957.0</v>
      </c>
      <c r="B21" s="10" t="s">
        <v>10</v>
      </c>
      <c r="C21" s="10">
        <v>32511.0</v>
      </c>
      <c r="D21" s="10">
        <v>2938623.0</v>
      </c>
      <c r="E21" s="7">
        <f>SUMIFS('Лист2'!C:C, 'Лист2'!A:A, A21, 'Лист2'!B:B, B21)</f>
        <v>20</v>
      </c>
      <c r="F21" s="7">
        <f>SUMIFS('Лист2'!D:D, 'Лист2'!A:A, A21, 'Лист2'!B:B, B21)</f>
        <v>1784</v>
      </c>
      <c r="G21" s="7">
        <f>SUMIFS('Лист2'!E:E, 'Лист2'!A:A, A21, 'Лист2'!B:B, B21)</f>
        <v>1632</v>
      </c>
      <c r="H21" s="8">
        <f t="shared" si="1"/>
        <v>146931.15</v>
      </c>
      <c r="I21" s="8">
        <f t="shared" si="2"/>
        <v>19</v>
      </c>
    </row>
    <row r="22" ht="14.25" customHeight="1">
      <c r="A22" s="5">
        <v>43974.0</v>
      </c>
      <c r="B22" s="6" t="s">
        <v>10</v>
      </c>
      <c r="C22" s="6">
        <v>42703.5</v>
      </c>
      <c r="D22" s="6">
        <v>3628726.5</v>
      </c>
      <c r="E22" s="7">
        <f>SUMIFS('Лист2'!C:C, 'Лист2'!A:A, A22, 'Лист2'!B:B, B22)</f>
        <v>21</v>
      </c>
      <c r="F22" s="7">
        <f>SUMIFS('Лист2'!D:D, 'Лист2'!A:A, A22, 'Лист2'!B:B, B22)</f>
        <v>2340</v>
      </c>
      <c r="G22" s="7">
        <f>SUMIFS('Лист2'!E:E, 'Лист2'!A:A, A22, 'Лист2'!B:B, B22)</f>
        <v>2146</v>
      </c>
      <c r="H22" s="8">
        <f t="shared" si="1"/>
        <v>172796.5</v>
      </c>
      <c r="I22" s="8">
        <f t="shared" si="2"/>
        <v>21</v>
      </c>
    </row>
    <row r="23" ht="14.25" customHeight="1">
      <c r="A23" s="9">
        <v>43976.0</v>
      </c>
      <c r="B23" s="10" t="s">
        <v>10</v>
      </c>
      <c r="C23" s="10">
        <v>35592.0</v>
      </c>
      <c r="D23" s="10">
        <v>3176580.0</v>
      </c>
      <c r="E23" s="7">
        <f>SUMIFS('Лист2'!C:C, 'Лист2'!A:A, A23, 'Лист2'!B:B, B23)</f>
        <v>20</v>
      </c>
      <c r="F23" s="7">
        <f>SUMIFS('Лист2'!D:D, 'Лист2'!A:A, A23, 'Лист2'!B:B, B23)</f>
        <v>2087</v>
      </c>
      <c r="G23" s="7">
        <f>SUMIFS('Лист2'!E:E, 'Лист2'!A:A, A23, 'Лист2'!B:B, B23)</f>
        <v>1914</v>
      </c>
      <c r="H23" s="8">
        <f t="shared" si="1"/>
        <v>158829</v>
      </c>
      <c r="I23" s="8">
        <f t="shared" si="2"/>
        <v>22</v>
      </c>
    </row>
    <row r="24" ht="14.25" customHeight="1">
      <c r="A24" s="5">
        <v>43951.0</v>
      </c>
      <c r="B24" s="6" t="s">
        <v>10</v>
      </c>
      <c r="C24" s="6">
        <v>30445.5</v>
      </c>
      <c r="D24" s="6">
        <v>2817196.5</v>
      </c>
      <c r="E24" s="7">
        <f>SUMIFS('Лист2'!C:C, 'Лист2'!A:A, A24, 'Лист2'!B:B, B24)</f>
        <v>19</v>
      </c>
      <c r="F24" s="7">
        <f>SUMIFS('Лист2'!D:D, 'Лист2'!A:A, A24, 'Лист2'!B:B, B24)</f>
        <v>1712</v>
      </c>
      <c r="G24" s="7">
        <f>SUMIFS('Лист2'!E:E, 'Лист2'!A:A, A24, 'Лист2'!B:B, B24)</f>
        <v>1552</v>
      </c>
      <c r="H24" s="8">
        <f t="shared" si="1"/>
        <v>148273.5</v>
      </c>
      <c r="I24" s="8">
        <f t="shared" si="2"/>
        <v>18</v>
      </c>
    </row>
    <row r="25" ht="14.25" customHeight="1">
      <c r="A25" s="9">
        <v>43961.0</v>
      </c>
      <c r="B25" s="10" t="s">
        <v>10</v>
      </c>
      <c r="C25" s="10">
        <v>36619.5</v>
      </c>
      <c r="D25" s="10">
        <v>3312967.5</v>
      </c>
      <c r="E25" s="7">
        <f>SUMIFS('Лист2'!C:C, 'Лист2'!A:A, A25, 'Лист2'!B:B, B25)</f>
        <v>21</v>
      </c>
      <c r="F25" s="7">
        <f>SUMIFS('Лист2'!D:D, 'Лист2'!A:A, A25, 'Лист2'!B:B, B25)</f>
        <v>2016</v>
      </c>
      <c r="G25" s="7">
        <f>SUMIFS('Лист2'!E:E, 'Лист2'!A:A, A25, 'Лист2'!B:B, B25)</f>
        <v>1846</v>
      </c>
      <c r="H25" s="8">
        <f t="shared" si="1"/>
        <v>157760.3571</v>
      </c>
      <c r="I25" s="8">
        <f t="shared" si="2"/>
        <v>19</v>
      </c>
    </row>
    <row r="26" ht="14.25" customHeight="1">
      <c r="A26" s="5">
        <v>43959.0</v>
      </c>
      <c r="B26" s="6" t="s">
        <v>10</v>
      </c>
      <c r="C26" s="6">
        <v>29409.0</v>
      </c>
      <c r="D26" s="6">
        <v>2645160.0</v>
      </c>
      <c r="E26" s="7">
        <f>SUMIFS('Лист2'!C:C, 'Лист2'!A:A, A26, 'Лист2'!B:B, B26)</f>
        <v>21</v>
      </c>
      <c r="F26" s="7">
        <f>SUMIFS('Лист2'!D:D, 'Лист2'!A:A, A26, 'Лист2'!B:B, B26)</f>
        <v>1646</v>
      </c>
      <c r="G26" s="7">
        <f>SUMIFS('Лист2'!E:E, 'Лист2'!A:A, A26, 'Лист2'!B:B, B26)</f>
        <v>1492</v>
      </c>
      <c r="H26" s="8">
        <f t="shared" si="1"/>
        <v>125960</v>
      </c>
      <c r="I26" s="8">
        <f t="shared" si="2"/>
        <v>19</v>
      </c>
    </row>
    <row r="27" ht="14.25" customHeight="1">
      <c r="A27" s="9">
        <v>43958.0</v>
      </c>
      <c r="B27" s="10" t="s">
        <v>10</v>
      </c>
      <c r="C27" s="10">
        <v>27018.0</v>
      </c>
      <c r="D27" s="10">
        <v>2472213.0</v>
      </c>
      <c r="E27" s="7">
        <f>SUMIFS('Лист2'!C:C, 'Лист2'!A:A, A27, 'Лист2'!B:B, B27)</f>
        <v>21</v>
      </c>
      <c r="F27" s="7">
        <f>SUMIFS('Лист2'!D:D, 'Лист2'!A:A, A27, 'Лист2'!B:B, B27)</f>
        <v>1542</v>
      </c>
      <c r="G27" s="7">
        <f>SUMIFS('Лист2'!E:E, 'Лист2'!A:A, A27, 'Лист2'!B:B, B27)</f>
        <v>1405</v>
      </c>
      <c r="H27" s="8">
        <f t="shared" si="1"/>
        <v>117724.4286</v>
      </c>
      <c r="I27" s="8">
        <f t="shared" si="2"/>
        <v>19</v>
      </c>
    </row>
    <row r="28" ht="14.25" customHeight="1">
      <c r="A28" s="5">
        <v>43975.0</v>
      </c>
      <c r="B28" s="6" t="s">
        <v>10</v>
      </c>
      <c r="C28" s="6">
        <v>34303.5</v>
      </c>
      <c r="D28" s="6">
        <v>2924746.5</v>
      </c>
      <c r="E28" s="7">
        <f>SUMIFS('Лист2'!C:C, 'Лист2'!A:A, A28, 'Лист2'!B:B, B28)</f>
        <v>20</v>
      </c>
      <c r="F28" s="7">
        <f>SUMIFS('Лист2'!D:D, 'Лист2'!A:A, A28, 'Лист2'!B:B, B28)</f>
        <v>1999</v>
      </c>
      <c r="G28" s="7">
        <f>SUMIFS('Лист2'!E:E, 'Лист2'!A:A, A28, 'Лист2'!B:B, B28)</f>
        <v>1829</v>
      </c>
      <c r="H28" s="8">
        <f t="shared" si="1"/>
        <v>146237.325</v>
      </c>
      <c r="I28" s="8">
        <f t="shared" si="2"/>
        <v>21</v>
      </c>
    </row>
    <row r="29" ht="14.25" customHeight="1">
      <c r="A29" s="9">
        <v>43982.0</v>
      </c>
      <c r="B29" s="10" t="s">
        <v>10</v>
      </c>
      <c r="C29" s="10">
        <v>36999.0</v>
      </c>
      <c r="D29" s="10">
        <v>3473895.0</v>
      </c>
      <c r="E29" s="7">
        <f>SUMIFS('Лист2'!C:C, 'Лист2'!A:A, A29, 'Лист2'!B:B, B29)</f>
        <v>21</v>
      </c>
      <c r="F29" s="7">
        <f>SUMIFS('Лист2'!D:D, 'Лист2'!A:A, A29, 'Лист2'!B:B, B29)</f>
        <v>2271</v>
      </c>
      <c r="G29" s="7">
        <f>SUMIFS('Лист2'!E:E, 'Лист2'!A:A, A29, 'Лист2'!B:B, B29)</f>
        <v>2085</v>
      </c>
      <c r="H29" s="8">
        <f t="shared" si="1"/>
        <v>165423.5714</v>
      </c>
      <c r="I29" s="8">
        <f t="shared" si="2"/>
        <v>22</v>
      </c>
    </row>
    <row r="30" ht="14.25" customHeight="1">
      <c r="A30" s="5">
        <v>43981.0</v>
      </c>
      <c r="B30" s="6" t="s">
        <v>10</v>
      </c>
      <c r="C30" s="6">
        <v>44001.0</v>
      </c>
      <c r="D30" s="6">
        <v>3921784.5</v>
      </c>
      <c r="E30" s="7">
        <f>SUMIFS('Лист2'!C:C, 'Лист2'!A:A, A30, 'Лист2'!B:B, B30)</f>
        <v>20</v>
      </c>
      <c r="F30" s="7">
        <f>SUMIFS('Лист2'!D:D, 'Лист2'!A:A, A30, 'Лист2'!B:B, B30)</f>
        <v>2597</v>
      </c>
      <c r="G30" s="7">
        <f>SUMIFS('Лист2'!E:E, 'Лист2'!A:A, A30, 'Лист2'!B:B, B30)</f>
        <v>2376</v>
      </c>
      <c r="H30" s="8">
        <f t="shared" si="1"/>
        <v>196089.225</v>
      </c>
      <c r="I30" s="8">
        <f t="shared" si="2"/>
        <v>22</v>
      </c>
    </row>
    <row r="31" ht="14.25" customHeight="1">
      <c r="A31" s="9">
        <v>43979.0</v>
      </c>
      <c r="B31" s="10" t="s">
        <v>10</v>
      </c>
      <c r="C31" s="10">
        <v>30982.5</v>
      </c>
      <c r="D31" s="10">
        <v>2827773.0</v>
      </c>
      <c r="E31" s="7">
        <f>SUMIFS('Лист2'!C:C, 'Лист2'!A:A, A31, 'Лист2'!B:B, B31)</f>
        <v>20</v>
      </c>
      <c r="F31" s="7">
        <f>SUMIFS('Лист2'!D:D, 'Лист2'!A:A, A31, 'Лист2'!B:B, B31)</f>
        <v>1886</v>
      </c>
      <c r="G31" s="7">
        <f>SUMIFS('Лист2'!E:E, 'Лист2'!A:A, A31, 'Лист2'!B:B, B31)</f>
        <v>1736</v>
      </c>
      <c r="H31" s="8">
        <f t="shared" si="1"/>
        <v>141388.65</v>
      </c>
      <c r="I31" s="8">
        <f t="shared" si="2"/>
        <v>22</v>
      </c>
    </row>
    <row r="32" ht="14.25" customHeight="1">
      <c r="A32" s="5">
        <v>43967.0</v>
      </c>
      <c r="B32" s="6" t="s">
        <v>11</v>
      </c>
      <c r="C32" s="6">
        <v>88063.5</v>
      </c>
      <c r="D32" s="6">
        <v>7583758.5</v>
      </c>
      <c r="E32" s="7">
        <f>SUMIFS('Лист2'!C:C, 'Лист2'!A:A, A32, 'Лист2'!B:B, B32)</f>
        <v>31</v>
      </c>
      <c r="F32" s="7">
        <f>SUMIFS('Лист2'!D:D, 'Лист2'!A:A, A32, 'Лист2'!B:B, B32)</f>
        <v>5593</v>
      </c>
      <c r="G32" s="7">
        <f>SUMIFS('Лист2'!E:E, 'Лист2'!A:A, A32, 'Лист2'!B:B, B32)</f>
        <v>5177</v>
      </c>
      <c r="H32" s="8">
        <f t="shared" si="1"/>
        <v>244637.371</v>
      </c>
      <c r="I32" s="8">
        <f t="shared" si="2"/>
        <v>20</v>
      </c>
    </row>
    <row r="33" ht="14.25" customHeight="1">
      <c r="A33" s="9">
        <v>43970.0</v>
      </c>
      <c r="B33" s="10" t="s">
        <v>11</v>
      </c>
      <c r="C33" s="10">
        <v>84024.0</v>
      </c>
      <c r="D33" s="10">
        <v>6815511.0</v>
      </c>
      <c r="E33" s="7">
        <f>SUMIFS('Лист2'!C:C, 'Лист2'!A:A, A33, 'Лист2'!B:B, B33)</f>
        <v>31</v>
      </c>
      <c r="F33" s="7">
        <f>SUMIFS('Лист2'!D:D, 'Лист2'!A:A, A33, 'Лист2'!B:B, B33)</f>
        <v>5389</v>
      </c>
      <c r="G33" s="7">
        <f>SUMIFS('Лист2'!E:E, 'Лист2'!A:A, A33, 'Лист2'!B:B, B33)</f>
        <v>5024</v>
      </c>
      <c r="H33" s="8">
        <f t="shared" si="1"/>
        <v>219855.1935</v>
      </c>
      <c r="I33" s="8">
        <f t="shared" si="2"/>
        <v>21</v>
      </c>
    </row>
    <row r="34" ht="14.25" customHeight="1">
      <c r="A34" s="5">
        <v>43968.0</v>
      </c>
      <c r="B34" s="6" t="s">
        <v>11</v>
      </c>
      <c r="C34" s="6">
        <v>78057.0</v>
      </c>
      <c r="D34" s="6">
        <v>6774946.5</v>
      </c>
      <c r="E34" s="7">
        <f>SUMIFS('Лист2'!C:C, 'Лист2'!A:A, A34, 'Лист2'!B:B, B34)</f>
        <v>31</v>
      </c>
      <c r="F34" s="7">
        <f>SUMIFS('Лист2'!D:D, 'Лист2'!A:A, A34, 'Лист2'!B:B, B34)</f>
        <v>5206</v>
      </c>
      <c r="G34" s="7">
        <f>SUMIFS('Лист2'!E:E, 'Лист2'!A:A, A34, 'Лист2'!B:B, B34)</f>
        <v>4843</v>
      </c>
      <c r="H34" s="8">
        <f t="shared" si="1"/>
        <v>218546.6613</v>
      </c>
      <c r="I34" s="8">
        <f t="shared" si="2"/>
        <v>20</v>
      </c>
    </row>
    <row r="35" ht="14.25" customHeight="1">
      <c r="A35" s="9">
        <v>43960.0</v>
      </c>
      <c r="B35" s="10" t="s">
        <v>11</v>
      </c>
      <c r="C35" s="10">
        <v>69720.0</v>
      </c>
      <c r="D35" s="10">
        <v>6264933.0</v>
      </c>
      <c r="E35" s="7">
        <f>SUMIFS('Лист2'!C:C, 'Лист2'!A:A, A35, 'Лист2'!B:B, B35)</f>
        <v>31</v>
      </c>
      <c r="F35" s="7">
        <f>SUMIFS('Лист2'!D:D, 'Лист2'!A:A, A35, 'Лист2'!B:B, B35)</f>
        <v>4556</v>
      </c>
      <c r="G35" s="7">
        <f>SUMIFS('Лист2'!E:E, 'Лист2'!A:A, A35, 'Лист2'!B:B, B35)</f>
        <v>4220</v>
      </c>
      <c r="H35" s="8">
        <f t="shared" si="1"/>
        <v>202094.6129</v>
      </c>
      <c r="I35" s="8">
        <f t="shared" si="2"/>
        <v>19</v>
      </c>
    </row>
    <row r="36" ht="14.25" customHeight="1">
      <c r="A36" s="5">
        <v>43955.0</v>
      </c>
      <c r="B36" s="6" t="s">
        <v>11</v>
      </c>
      <c r="C36" s="6">
        <v>72928.5</v>
      </c>
      <c r="D36" s="6">
        <v>6642249.0</v>
      </c>
      <c r="E36" s="7">
        <f>SUMIFS('Лист2'!C:C, 'Лист2'!A:A, A36, 'Лист2'!B:B, B36)</f>
        <v>31</v>
      </c>
      <c r="F36" s="7">
        <f>SUMIFS('Лист2'!D:D, 'Лист2'!A:A, A36, 'Лист2'!B:B, B36)</f>
        <v>4968</v>
      </c>
      <c r="G36" s="7">
        <f>SUMIFS('Лист2'!E:E, 'Лист2'!A:A, A36, 'Лист2'!B:B, B36)</f>
        <v>4596</v>
      </c>
      <c r="H36" s="8">
        <f t="shared" si="1"/>
        <v>214266.0968</v>
      </c>
      <c r="I36" s="8">
        <f t="shared" si="2"/>
        <v>19</v>
      </c>
    </row>
    <row r="37" ht="14.25" customHeight="1">
      <c r="A37" s="9">
        <v>43950.0</v>
      </c>
      <c r="B37" s="10" t="s">
        <v>11</v>
      </c>
      <c r="C37" s="10">
        <v>79527.0</v>
      </c>
      <c r="D37" s="10">
        <v>7180498.5</v>
      </c>
      <c r="E37" s="7">
        <f>SUMIFS('Лист2'!C:C, 'Лист2'!A:A, A37, 'Лист2'!B:B, B37)</f>
        <v>31</v>
      </c>
      <c r="F37" s="7">
        <f>SUMIFS('Лист2'!D:D, 'Лист2'!A:A, A37, 'Лист2'!B:B, B37)</f>
        <v>5378</v>
      </c>
      <c r="G37" s="7">
        <f>SUMIFS('Лист2'!E:E, 'Лист2'!A:A, A37, 'Лист2'!B:B, B37)</f>
        <v>4985</v>
      </c>
      <c r="H37" s="8">
        <f t="shared" si="1"/>
        <v>231628.9839</v>
      </c>
      <c r="I37" s="8">
        <f t="shared" si="2"/>
        <v>18</v>
      </c>
    </row>
    <row r="38" ht="14.25" customHeight="1">
      <c r="A38" s="5">
        <v>43953.0</v>
      </c>
      <c r="B38" s="6" t="s">
        <v>11</v>
      </c>
      <c r="C38" s="6">
        <v>60463.5</v>
      </c>
      <c r="D38" s="6">
        <v>5554192.5</v>
      </c>
      <c r="E38" s="7">
        <f>SUMIFS('Лист2'!C:C, 'Лист2'!A:A, A38, 'Лист2'!B:B, B38)</f>
        <v>31</v>
      </c>
      <c r="F38" s="7">
        <f>SUMIFS('Лист2'!D:D, 'Лист2'!A:A, A38, 'Лист2'!B:B, B38)</f>
        <v>4157</v>
      </c>
      <c r="G38" s="7">
        <f>SUMIFS('Лист2'!E:E, 'Лист2'!A:A, A38, 'Лист2'!B:B, B38)</f>
        <v>3823</v>
      </c>
      <c r="H38" s="8">
        <f t="shared" si="1"/>
        <v>179167.5</v>
      </c>
      <c r="I38" s="8">
        <f t="shared" si="2"/>
        <v>18</v>
      </c>
    </row>
    <row r="39" ht="14.25" customHeight="1">
      <c r="A39" s="9">
        <v>43977.0</v>
      </c>
      <c r="B39" s="10" t="s">
        <v>11</v>
      </c>
      <c r="C39" s="10">
        <v>79975.5</v>
      </c>
      <c r="D39" s="10">
        <v>6676459.5</v>
      </c>
      <c r="E39" s="7">
        <f>SUMIFS('Лист2'!C:C, 'Лист2'!A:A, A39, 'Лист2'!B:B, B39)</f>
        <v>31</v>
      </c>
      <c r="F39" s="7">
        <f>SUMIFS('Лист2'!D:D, 'Лист2'!A:A, A39, 'Лист2'!B:B, B39)</f>
        <v>5493</v>
      </c>
      <c r="G39" s="7">
        <f>SUMIFS('Лист2'!E:E, 'Лист2'!A:A, A39, 'Лист2'!B:B, B39)</f>
        <v>5119</v>
      </c>
      <c r="H39" s="8">
        <f t="shared" si="1"/>
        <v>215369.6613</v>
      </c>
      <c r="I39" s="8">
        <f t="shared" si="2"/>
        <v>22</v>
      </c>
    </row>
    <row r="40" ht="14.25" customHeight="1">
      <c r="A40" s="5">
        <v>43952.0</v>
      </c>
      <c r="B40" s="6" t="s">
        <v>11</v>
      </c>
      <c r="C40" s="6">
        <v>97534.5</v>
      </c>
      <c r="D40" s="6">
        <v>8893024.5</v>
      </c>
      <c r="E40" s="7">
        <f>SUMIFS('Лист2'!C:C, 'Лист2'!A:A, A40, 'Лист2'!B:B, B40)</f>
        <v>31</v>
      </c>
      <c r="F40" s="7">
        <f>SUMIFS('Лист2'!D:D, 'Лист2'!A:A, A40, 'Лист2'!B:B, B40)</f>
        <v>6118</v>
      </c>
      <c r="G40" s="7">
        <f>SUMIFS('Лист2'!E:E, 'Лист2'!A:A, A40, 'Лист2'!B:B, B40)</f>
        <v>5564</v>
      </c>
      <c r="H40" s="8">
        <f t="shared" si="1"/>
        <v>286871.7581</v>
      </c>
      <c r="I40" s="8">
        <f t="shared" si="2"/>
        <v>18</v>
      </c>
    </row>
    <row r="41" ht="14.25" customHeight="1">
      <c r="A41" s="9">
        <v>43963.0</v>
      </c>
      <c r="B41" s="10" t="s">
        <v>11</v>
      </c>
      <c r="C41" s="10">
        <v>71520.0</v>
      </c>
      <c r="D41" s="10">
        <v>6398361.0</v>
      </c>
      <c r="E41" s="7">
        <f>SUMIFS('Лист2'!C:C, 'Лист2'!A:A, A41, 'Лист2'!B:B, B41)</f>
        <v>31</v>
      </c>
      <c r="F41" s="7">
        <f>SUMIFS('Лист2'!D:D, 'Лист2'!A:A, A41, 'Лист2'!B:B, B41)</f>
        <v>4800</v>
      </c>
      <c r="G41" s="7">
        <f>SUMIFS('Лист2'!E:E, 'Лист2'!A:A, A41, 'Лист2'!B:B, B41)</f>
        <v>4470</v>
      </c>
      <c r="H41" s="8">
        <f t="shared" si="1"/>
        <v>206398.7419</v>
      </c>
      <c r="I41" s="8">
        <f t="shared" si="2"/>
        <v>20</v>
      </c>
    </row>
    <row r="42" ht="14.25" customHeight="1">
      <c r="A42" s="5">
        <v>43972.0</v>
      </c>
      <c r="B42" s="6" t="s">
        <v>11</v>
      </c>
      <c r="C42" s="6">
        <v>79485.0</v>
      </c>
      <c r="D42" s="6">
        <v>6633847.5</v>
      </c>
      <c r="E42" s="7">
        <f>SUMIFS('Лист2'!C:C, 'Лист2'!A:A, A42, 'Лист2'!B:B, B42)</f>
        <v>31</v>
      </c>
      <c r="F42" s="7">
        <f>SUMIFS('Лист2'!D:D, 'Лист2'!A:A, A42, 'Лист2'!B:B, B42)</f>
        <v>5207</v>
      </c>
      <c r="G42" s="7">
        <f>SUMIFS('Лист2'!E:E, 'Лист2'!A:A, A42, 'Лист2'!B:B, B42)</f>
        <v>4868</v>
      </c>
      <c r="H42" s="8">
        <f t="shared" si="1"/>
        <v>213995.0806</v>
      </c>
      <c r="I42" s="8">
        <f t="shared" si="2"/>
        <v>21</v>
      </c>
    </row>
    <row r="43" ht="14.25" customHeight="1">
      <c r="A43" s="9">
        <v>43971.0</v>
      </c>
      <c r="B43" s="10" t="s">
        <v>11</v>
      </c>
      <c r="C43" s="10">
        <v>93313.5</v>
      </c>
      <c r="D43" s="10">
        <v>7247575.5</v>
      </c>
      <c r="E43" s="7">
        <f>SUMIFS('Лист2'!C:C, 'Лист2'!A:A, A43, 'Лист2'!B:B, B43)</f>
        <v>31</v>
      </c>
      <c r="F43" s="7">
        <f>SUMIFS('Лист2'!D:D, 'Лист2'!A:A, A43, 'Лист2'!B:B, B43)</f>
        <v>5698</v>
      </c>
      <c r="G43" s="7">
        <f>SUMIFS('Лист2'!E:E, 'Лист2'!A:A, A43, 'Лист2'!B:B, B43)</f>
        <v>5258</v>
      </c>
      <c r="H43" s="8">
        <f t="shared" si="1"/>
        <v>233792.7581</v>
      </c>
      <c r="I43" s="8">
        <f t="shared" si="2"/>
        <v>21</v>
      </c>
    </row>
    <row r="44" ht="14.25" customHeight="1">
      <c r="A44" s="5">
        <v>43956.0</v>
      </c>
      <c r="B44" s="6" t="s">
        <v>11</v>
      </c>
      <c r="C44" s="6">
        <v>76585.5</v>
      </c>
      <c r="D44" s="6">
        <v>6921316.5</v>
      </c>
      <c r="E44" s="7">
        <f>SUMIFS('Лист2'!C:C, 'Лист2'!A:A, A44, 'Лист2'!B:B, B44)</f>
        <v>31</v>
      </c>
      <c r="F44" s="7">
        <f>SUMIFS('Лист2'!D:D, 'Лист2'!A:A, A44, 'Лист2'!B:B, B44)</f>
        <v>5188</v>
      </c>
      <c r="G44" s="7">
        <f>SUMIFS('Лист2'!E:E, 'Лист2'!A:A, A44, 'Лист2'!B:B, B44)</f>
        <v>4800</v>
      </c>
      <c r="H44" s="8">
        <f t="shared" si="1"/>
        <v>223268.2742</v>
      </c>
      <c r="I44" s="8">
        <f t="shared" si="2"/>
        <v>19</v>
      </c>
    </row>
    <row r="45" ht="14.25" customHeight="1">
      <c r="A45" s="9">
        <v>43949.0</v>
      </c>
      <c r="B45" s="10" t="s">
        <v>11</v>
      </c>
      <c r="C45" s="10">
        <v>81826.5</v>
      </c>
      <c r="D45" s="10">
        <v>7163644.5</v>
      </c>
      <c r="E45" s="7">
        <f>SUMIFS('Лист2'!C:C, 'Лист2'!A:A, A45, 'Лист2'!B:B, B45)</f>
        <v>31</v>
      </c>
      <c r="F45" s="7">
        <f>SUMIFS('Лист2'!D:D, 'Лист2'!A:A, A45, 'Лист2'!B:B, B45)</f>
        <v>5465</v>
      </c>
      <c r="G45" s="7">
        <f>SUMIFS('Лист2'!E:E, 'Лист2'!A:A, A45, 'Лист2'!B:B, B45)</f>
        <v>5096</v>
      </c>
      <c r="H45" s="8">
        <f t="shared" si="1"/>
        <v>231085.3065</v>
      </c>
      <c r="I45" s="8">
        <f t="shared" si="2"/>
        <v>18</v>
      </c>
    </row>
    <row r="46" ht="14.25" customHeight="1">
      <c r="A46" s="5">
        <v>43964.0</v>
      </c>
      <c r="B46" s="6" t="s">
        <v>11</v>
      </c>
      <c r="C46" s="6">
        <v>78846.0</v>
      </c>
      <c r="D46" s="6">
        <v>6993952.5</v>
      </c>
      <c r="E46" s="7">
        <f>SUMIFS('Лист2'!C:C, 'Лист2'!A:A, A46, 'Лист2'!B:B, B46)</f>
        <v>31</v>
      </c>
      <c r="F46" s="7">
        <f>SUMIFS('Лист2'!D:D, 'Лист2'!A:A, A46, 'Лист2'!B:B, B46)</f>
        <v>5251</v>
      </c>
      <c r="G46" s="7">
        <f>SUMIFS('Лист2'!E:E, 'Лист2'!A:A, A46, 'Лист2'!B:B, B46)</f>
        <v>4853</v>
      </c>
      <c r="H46" s="8">
        <f t="shared" si="1"/>
        <v>225611.371</v>
      </c>
      <c r="I46" s="8">
        <f t="shared" si="2"/>
        <v>20</v>
      </c>
    </row>
    <row r="47" ht="14.25" customHeight="1">
      <c r="A47" s="9">
        <v>43954.0</v>
      </c>
      <c r="B47" s="10" t="s">
        <v>11</v>
      </c>
      <c r="C47" s="10">
        <v>77263.5</v>
      </c>
      <c r="D47" s="10">
        <v>7013670.0</v>
      </c>
      <c r="E47" s="7">
        <f>SUMIFS('Лист2'!C:C, 'Лист2'!A:A, A47, 'Лист2'!B:B, B47)</f>
        <v>31</v>
      </c>
      <c r="F47" s="7">
        <f>SUMIFS('Лист2'!D:D, 'Лист2'!A:A, A47, 'Лист2'!B:B, B47)</f>
        <v>5155</v>
      </c>
      <c r="G47" s="7">
        <f>SUMIFS('Лист2'!E:E, 'Лист2'!A:A, A47, 'Лист2'!B:B, B47)</f>
        <v>4762</v>
      </c>
      <c r="H47" s="8">
        <f t="shared" si="1"/>
        <v>226247.4194</v>
      </c>
      <c r="I47" s="8">
        <f t="shared" si="2"/>
        <v>18</v>
      </c>
    </row>
    <row r="48" ht="14.25" customHeight="1">
      <c r="A48" s="5">
        <v>43957.0</v>
      </c>
      <c r="B48" s="6" t="s">
        <v>11</v>
      </c>
      <c r="C48" s="6">
        <v>68994.0</v>
      </c>
      <c r="D48" s="6">
        <v>6168657.0</v>
      </c>
      <c r="E48" s="7">
        <f>SUMIFS('Лист2'!C:C, 'Лист2'!A:A, A48, 'Лист2'!B:B, B48)</f>
        <v>31</v>
      </c>
      <c r="F48" s="7">
        <f>SUMIFS('Лист2'!D:D, 'Лист2'!A:A, A48, 'Лист2'!B:B, B48)</f>
        <v>4709</v>
      </c>
      <c r="G48" s="7">
        <f>SUMIFS('Лист2'!E:E, 'Лист2'!A:A, A48, 'Лист2'!B:B, B48)</f>
        <v>4348</v>
      </c>
      <c r="H48" s="8">
        <f t="shared" si="1"/>
        <v>198988.9355</v>
      </c>
      <c r="I48" s="8">
        <f t="shared" si="2"/>
        <v>19</v>
      </c>
    </row>
    <row r="49" ht="14.25" customHeight="1">
      <c r="A49" s="9">
        <v>43974.0</v>
      </c>
      <c r="B49" s="10" t="s">
        <v>11</v>
      </c>
      <c r="C49" s="10">
        <v>102889.5</v>
      </c>
      <c r="D49" s="10">
        <v>8089143.0</v>
      </c>
      <c r="E49" s="7">
        <f>SUMIFS('Лист2'!C:C, 'Лист2'!A:A, A49, 'Лист2'!B:B, B49)</f>
        <v>31</v>
      </c>
      <c r="F49" s="7">
        <f>SUMIFS('Лист2'!D:D, 'Лист2'!A:A, A49, 'Лист2'!B:B, B49)</f>
        <v>6276</v>
      </c>
      <c r="G49" s="7">
        <f>SUMIFS('Лист2'!E:E, 'Лист2'!A:A, A49, 'Лист2'!B:B, B49)</f>
        <v>5801</v>
      </c>
      <c r="H49" s="8">
        <f t="shared" si="1"/>
        <v>260940.0968</v>
      </c>
      <c r="I49" s="8">
        <f t="shared" si="2"/>
        <v>21</v>
      </c>
    </row>
    <row r="50" ht="14.25" customHeight="1">
      <c r="A50" s="5">
        <v>43976.0</v>
      </c>
      <c r="B50" s="6" t="s">
        <v>11</v>
      </c>
      <c r="C50" s="6">
        <v>76999.5</v>
      </c>
      <c r="D50" s="6">
        <v>6645603.0</v>
      </c>
      <c r="E50" s="7">
        <f>SUMIFS('Лист2'!C:C, 'Лист2'!A:A, A50, 'Лист2'!B:B, B50)</f>
        <v>31</v>
      </c>
      <c r="F50" s="7">
        <f>SUMIFS('Лист2'!D:D, 'Лист2'!A:A, A50, 'Лист2'!B:B, B50)</f>
        <v>5210</v>
      </c>
      <c r="G50" s="7">
        <f>SUMIFS('Лист2'!E:E, 'Лист2'!A:A, A50, 'Лист2'!B:B, B50)</f>
        <v>4841</v>
      </c>
      <c r="H50" s="8">
        <f t="shared" si="1"/>
        <v>214374.2903</v>
      </c>
      <c r="I50" s="8">
        <f t="shared" si="2"/>
        <v>22</v>
      </c>
    </row>
    <row r="51" ht="14.25" customHeight="1">
      <c r="A51" s="9">
        <v>43951.0</v>
      </c>
      <c r="B51" s="10" t="s">
        <v>11</v>
      </c>
      <c r="C51" s="10">
        <v>77565.0</v>
      </c>
      <c r="D51" s="10">
        <v>7023727.5</v>
      </c>
      <c r="E51" s="7">
        <f>SUMIFS('Лист2'!C:C, 'Лист2'!A:A, A51, 'Лист2'!B:B, B51)</f>
        <v>31</v>
      </c>
      <c r="F51" s="7">
        <f>SUMIFS('Лист2'!D:D, 'Лист2'!A:A, A51, 'Лист2'!B:B, B51)</f>
        <v>5120</v>
      </c>
      <c r="G51" s="7">
        <f>SUMIFS('Лист2'!E:E, 'Лист2'!A:A, A51, 'Лист2'!B:B, B51)</f>
        <v>4737</v>
      </c>
      <c r="H51" s="8">
        <f t="shared" si="1"/>
        <v>226571.8548</v>
      </c>
      <c r="I51" s="8">
        <f t="shared" si="2"/>
        <v>18</v>
      </c>
    </row>
    <row r="52" ht="14.25" customHeight="1">
      <c r="A52" s="5">
        <v>43961.0</v>
      </c>
      <c r="B52" s="6" t="s">
        <v>11</v>
      </c>
      <c r="C52" s="6">
        <v>84132.0</v>
      </c>
      <c r="D52" s="6">
        <v>7483194.0</v>
      </c>
      <c r="E52" s="7">
        <f>SUMIFS('Лист2'!C:C, 'Лист2'!A:A, A52, 'Лист2'!B:B, B52)</f>
        <v>31</v>
      </c>
      <c r="F52" s="7">
        <f>SUMIFS('Лист2'!D:D, 'Лист2'!A:A, A52, 'Лист2'!B:B, B52)</f>
        <v>5495</v>
      </c>
      <c r="G52" s="7">
        <f>SUMIFS('Лист2'!E:E, 'Лист2'!A:A, A52, 'Лист2'!B:B, B52)</f>
        <v>5093</v>
      </c>
      <c r="H52" s="8">
        <f t="shared" si="1"/>
        <v>241393.3548</v>
      </c>
      <c r="I52" s="8">
        <f t="shared" si="2"/>
        <v>19</v>
      </c>
    </row>
    <row r="53" ht="14.25" customHeight="1">
      <c r="A53" s="9">
        <v>43959.0</v>
      </c>
      <c r="B53" s="10" t="s">
        <v>11</v>
      </c>
      <c r="C53" s="10">
        <v>69544.5</v>
      </c>
      <c r="D53" s="10">
        <v>6293776.5</v>
      </c>
      <c r="E53" s="7">
        <f>SUMIFS('Лист2'!C:C, 'Лист2'!A:A, A53, 'Лист2'!B:B, B53)</f>
        <v>31</v>
      </c>
      <c r="F53" s="7">
        <f>SUMIFS('Лист2'!D:D, 'Лист2'!A:A, A53, 'Лист2'!B:B, B53)</f>
        <v>4635</v>
      </c>
      <c r="G53" s="7">
        <f>SUMIFS('Лист2'!E:E, 'Лист2'!A:A, A53, 'Лист2'!B:B, B53)</f>
        <v>4266</v>
      </c>
      <c r="H53" s="8">
        <f t="shared" si="1"/>
        <v>203025.0484</v>
      </c>
      <c r="I53" s="8">
        <f t="shared" si="2"/>
        <v>19</v>
      </c>
    </row>
    <row r="54" ht="14.25" customHeight="1">
      <c r="A54" s="5">
        <v>43958.0</v>
      </c>
      <c r="B54" s="6" t="s">
        <v>11</v>
      </c>
      <c r="C54" s="6">
        <v>73204.5</v>
      </c>
      <c r="D54" s="6">
        <v>6591883.5</v>
      </c>
      <c r="E54" s="7">
        <f>SUMIFS('Лист2'!C:C, 'Лист2'!A:A, A54, 'Лист2'!B:B, B54)</f>
        <v>31</v>
      </c>
      <c r="F54" s="7">
        <f>SUMIFS('Лист2'!D:D, 'Лист2'!A:A, A54, 'Лист2'!B:B, B54)</f>
        <v>4903</v>
      </c>
      <c r="G54" s="7">
        <f>SUMIFS('Лист2'!E:E, 'Лист2'!A:A, A54, 'Лист2'!B:B, B54)</f>
        <v>4527</v>
      </c>
      <c r="H54" s="8">
        <f t="shared" si="1"/>
        <v>212641.4032</v>
      </c>
      <c r="I54" s="8">
        <f t="shared" si="2"/>
        <v>19</v>
      </c>
    </row>
    <row r="55" ht="14.25" customHeight="1">
      <c r="A55" s="9">
        <v>43975.0</v>
      </c>
      <c r="B55" s="10" t="s">
        <v>11</v>
      </c>
      <c r="C55" s="10">
        <v>76663.5</v>
      </c>
      <c r="D55" s="10">
        <v>6451032.0</v>
      </c>
      <c r="E55" s="7">
        <f>SUMIFS('Лист2'!C:C, 'Лист2'!A:A, A55, 'Лист2'!B:B, B55)</f>
        <v>31</v>
      </c>
      <c r="F55" s="7">
        <f>SUMIFS('Лист2'!D:D, 'Лист2'!A:A, A55, 'Лист2'!B:B, B55)</f>
        <v>5035</v>
      </c>
      <c r="G55" s="7">
        <f>SUMIFS('Лист2'!E:E, 'Лист2'!A:A, A55, 'Лист2'!B:B, B55)</f>
        <v>4683</v>
      </c>
      <c r="H55" s="8">
        <f t="shared" si="1"/>
        <v>208097.8065</v>
      </c>
      <c r="I55" s="8">
        <f t="shared" si="2"/>
        <v>21</v>
      </c>
    </row>
    <row r="56" ht="14.25" customHeight="1">
      <c r="A56" s="5">
        <v>43967.0</v>
      </c>
      <c r="B56" s="6" t="s">
        <v>12</v>
      </c>
      <c r="C56" s="6">
        <v>14265.0</v>
      </c>
      <c r="D56" s="6">
        <v>1130506.5</v>
      </c>
      <c r="E56" s="7">
        <f>SUMIFS('Лист2'!C:C, 'Лист2'!A:A, A56, 'Лист2'!B:B, B56)</f>
        <v>10</v>
      </c>
      <c r="F56" s="7">
        <f>SUMIFS('Лист2'!D:D, 'Лист2'!A:A, A56, 'Лист2'!B:B, B56)</f>
        <v>760</v>
      </c>
      <c r="G56" s="7">
        <f>SUMIFS('Лист2'!E:E, 'Лист2'!A:A, A56, 'Лист2'!B:B, B56)</f>
        <v>672</v>
      </c>
      <c r="H56" s="8">
        <f t="shared" si="1"/>
        <v>113050.65</v>
      </c>
      <c r="I56" s="8">
        <f t="shared" si="2"/>
        <v>20</v>
      </c>
    </row>
    <row r="57" ht="14.25" customHeight="1">
      <c r="A57" s="9">
        <v>43970.0</v>
      </c>
      <c r="B57" s="10" t="s">
        <v>12</v>
      </c>
      <c r="C57" s="10">
        <v>11526.0</v>
      </c>
      <c r="D57" s="10">
        <v>938764.5</v>
      </c>
      <c r="E57" s="7">
        <f>SUMIFS('Лист2'!C:C, 'Лист2'!A:A, A57, 'Лист2'!B:B, B57)</f>
        <v>10</v>
      </c>
      <c r="F57" s="7">
        <f>SUMIFS('Лист2'!D:D, 'Лист2'!A:A, A57, 'Лист2'!B:B, B57)</f>
        <v>649</v>
      </c>
      <c r="G57" s="7">
        <f>SUMIFS('Лист2'!E:E, 'Лист2'!A:A, A57, 'Лист2'!B:B, B57)</f>
        <v>568</v>
      </c>
      <c r="H57" s="8">
        <f t="shared" si="1"/>
        <v>93876.45</v>
      </c>
      <c r="I57" s="8">
        <f t="shared" si="2"/>
        <v>21</v>
      </c>
    </row>
    <row r="58" ht="14.25" customHeight="1">
      <c r="A58" s="5">
        <v>43968.0</v>
      </c>
      <c r="B58" s="6" t="s">
        <v>12</v>
      </c>
      <c r="C58" s="6">
        <v>10402.5</v>
      </c>
      <c r="D58" s="6">
        <v>843727.5</v>
      </c>
      <c r="E58" s="7">
        <f>SUMIFS('Лист2'!C:C, 'Лист2'!A:A, A58, 'Лист2'!B:B, B58)</f>
        <v>10</v>
      </c>
      <c r="F58" s="7">
        <f>SUMIFS('Лист2'!D:D, 'Лист2'!A:A, A58, 'Лист2'!B:B, B58)</f>
        <v>591</v>
      </c>
      <c r="G58" s="7">
        <f>SUMIFS('Лист2'!E:E, 'Лист2'!A:A, A58, 'Лист2'!B:B, B58)</f>
        <v>513</v>
      </c>
      <c r="H58" s="8">
        <f t="shared" si="1"/>
        <v>84372.75</v>
      </c>
      <c r="I58" s="8">
        <f t="shared" si="2"/>
        <v>20</v>
      </c>
    </row>
    <row r="59" ht="14.25" customHeight="1">
      <c r="A59" s="9">
        <v>43960.0</v>
      </c>
      <c r="B59" s="10" t="s">
        <v>12</v>
      </c>
      <c r="C59" s="10">
        <v>13216.5</v>
      </c>
      <c r="D59" s="10">
        <v>1046400.0</v>
      </c>
      <c r="E59" s="7">
        <f>SUMIFS('Лист2'!C:C, 'Лист2'!A:A, A59, 'Лист2'!B:B, B59)</f>
        <v>10</v>
      </c>
      <c r="F59" s="7">
        <f>SUMIFS('Лист2'!D:D, 'Лист2'!A:A, A59, 'Лист2'!B:B, B59)</f>
        <v>644</v>
      </c>
      <c r="G59" s="7">
        <f>SUMIFS('Лист2'!E:E, 'Лист2'!A:A, A59, 'Лист2'!B:B, B59)</f>
        <v>559</v>
      </c>
      <c r="H59" s="8">
        <f t="shared" si="1"/>
        <v>104640</v>
      </c>
      <c r="I59" s="8">
        <f t="shared" si="2"/>
        <v>19</v>
      </c>
    </row>
    <row r="60" ht="14.25" customHeight="1">
      <c r="A60" s="5">
        <v>43955.0</v>
      </c>
      <c r="B60" s="6" t="s">
        <v>12</v>
      </c>
      <c r="C60" s="6">
        <v>9130.5</v>
      </c>
      <c r="D60" s="6">
        <v>728890.5</v>
      </c>
      <c r="E60" s="7">
        <f>SUMIFS('Лист2'!C:C, 'Лист2'!A:A, A60, 'Лист2'!B:B, B60)</f>
        <v>10</v>
      </c>
      <c r="F60" s="7">
        <f>SUMIFS('Лист2'!D:D, 'Лист2'!A:A, A60, 'Лист2'!B:B, B60)</f>
        <v>462</v>
      </c>
      <c r="G60" s="7">
        <f>SUMIFS('Лист2'!E:E, 'Лист2'!A:A, A60, 'Лист2'!B:B, B60)</f>
        <v>396</v>
      </c>
      <c r="H60" s="8">
        <f t="shared" si="1"/>
        <v>72889.05</v>
      </c>
      <c r="I60" s="8">
        <f t="shared" si="2"/>
        <v>19</v>
      </c>
    </row>
    <row r="61" ht="14.25" customHeight="1">
      <c r="A61" s="9">
        <v>43950.0</v>
      </c>
      <c r="B61" s="10" t="s">
        <v>12</v>
      </c>
      <c r="C61" s="10">
        <v>10840.5</v>
      </c>
      <c r="D61" s="10">
        <v>797919.0</v>
      </c>
      <c r="E61" s="7">
        <f>SUMIFS('Лист2'!C:C, 'Лист2'!A:A, A61, 'Лист2'!B:B, B61)</f>
        <v>10</v>
      </c>
      <c r="F61" s="7">
        <f>SUMIFS('Лист2'!D:D, 'Лист2'!A:A, A61, 'Лист2'!B:B, B61)</f>
        <v>502</v>
      </c>
      <c r="G61" s="7">
        <f>SUMIFS('Лист2'!E:E, 'Лист2'!A:A, A61, 'Лист2'!B:B, B61)</f>
        <v>433</v>
      </c>
      <c r="H61" s="8">
        <f t="shared" si="1"/>
        <v>79791.9</v>
      </c>
      <c r="I61" s="8">
        <f t="shared" si="2"/>
        <v>18</v>
      </c>
    </row>
    <row r="62" ht="14.25" customHeight="1">
      <c r="A62" s="5">
        <v>43953.0</v>
      </c>
      <c r="B62" s="6" t="s">
        <v>12</v>
      </c>
      <c r="C62" s="6">
        <v>7866.0</v>
      </c>
      <c r="D62" s="6">
        <v>617881.5</v>
      </c>
      <c r="E62" s="7">
        <f>SUMIFS('Лист2'!C:C, 'Лист2'!A:A, A62, 'Лист2'!B:B, B62)</f>
        <v>10</v>
      </c>
      <c r="F62" s="7">
        <f>SUMIFS('Лист2'!D:D, 'Лист2'!A:A, A62, 'Лист2'!B:B, B62)</f>
        <v>416</v>
      </c>
      <c r="G62" s="7">
        <f>SUMIFS('Лист2'!E:E, 'Лист2'!A:A, A62, 'Лист2'!B:B, B62)</f>
        <v>341</v>
      </c>
      <c r="H62" s="8">
        <f t="shared" si="1"/>
        <v>61788.15</v>
      </c>
      <c r="I62" s="8">
        <f t="shared" si="2"/>
        <v>18</v>
      </c>
    </row>
    <row r="63" ht="14.25" customHeight="1">
      <c r="A63" s="9">
        <v>43977.0</v>
      </c>
      <c r="B63" s="10" t="s">
        <v>12</v>
      </c>
      <c r="C63" s="10">
        <v>11835.0</v>
      </c>
      <c r="D63" s="10">
        <v>983109.0</v>
      </c>
      <c r="E63" s="7">
        <f>SUMIFS('Лист2'!C:C, 'Лист2'!A:A, A63, 'Лист2'!B:B, B63)</f>
        <v>10</v>
      </c>
      <c r="F63" s="7">
        <f>SUMIFS('Лист2'!D:D, 'Лист2'!A:A, A63, 'Лист2'!B:B, B63)</f>
        <v>692</v>
      </c>
      <c r="G63" s="7">
        <f>SUMIFS('Лист2'!E:E, 'Лист2'!A:A, A63, 'Лист2'!B:B, B63)</f>
        <v>601</v>
      </c>
      <c r="H63" s="8">
        <f t="shared" si="1"/>
        <v>98310.9</v>
      </c>
      <c r="I63" s="8">
        <f t="shared" si="2"/>
        <v>22</v>
      </c>
    </row>
    <row r="64" ht="14.25" customHeight="1">
      <c r="A64" s="5">
        <v>43952.0</v>
      </c>
      <c r="B64" s="6" t="s">
        <v>12</v>
      </c>
      <c r="C64" s="6">
        <v>11619.0</v>
      </c>
      <c r="D64" s="6">
        <v>891139.5</v>
      </c>
      <c r="E64" s="7">
        <f>SUMIFS('Лист2'!C:C, 'Лист2'!A:A, A64, 'Лист2'!B:B, B64)</f>
        <v>10</v>
      </c>
      <c r="F64" s="7">
        <f>SUMIFS('Лист2'!D:D, 'Лист2'!A:A, A64, 'Лист2'!B:B, B64)</f>
        <v>554</v>
      </c>
      <c r="G64" s="7">
        <f>SUMIFS('Лист2'!E:E, 'Лист2'!A:A, A64, 'Лист2'!B:B, B64)</f>
        <v>472</v>
      </c>
      <c r="H64" s="8">
        <f t="shared" si="1"/>
        <v>89113.95</v>
      </c>
      <c r="I64" s="8">
        <f t="shared" si="2"/>
        <v>18</v>
      </c>
    </row>
    <row r="65" ht="14.25" customHeight="1">
      <c r="A65" s="9">
        <v>43963.0</v>
      </c>
      <c r="B65" s="10" t="s">
        <v>12</v>
      </c>
      <c r="C65" s="10">
        <v>9328.5</v>
      </c>
      <c r="D65" s="10">
        <v>732964.5</v>
      </c>
      <c r="E65" s="7">
        <f>SUMIFS('Лист2'!C:C, 'Лист2'!A:A, A65, 'Лист2'!B:B, B65)</f>
        <v>10</v>
      </c>
      <c r="F65" s="7">
        <f>SUMIFS('Лист2'!D:D, 'Лист2'!A:A, A65, 'Лист2'!B:B, B65)</f>
        <v>526</v>
      </c>
      <c r="G65" s="7">
        <f>SUMIFS('Лист2'!E:E, 'Лист2'!A:A, A65, 'Лист2'!B:B, B65)</f>
        <v>448</v>
      </c>
      <c r="H65" s="8">
        <f t="shared" si="1"/>
        <v>73296.45</v>
      </c>
      <c r="I65" s="8">
        <f t="shared" si="2"/>
        <v>20</v>
      </c>
    </row>
    <row r="66" ht="14.25" customHeight="1">
      <c r="A66" s="5">
        <v>43972.0</v>
      </c>
      <c r="B66" s="6" t="s">
        <v>12</v>
      </c>
      <c r="C66" s="6">
        <v>11250.0</v>
      </c>
      <c r="D66" s="6">
        <v>935523.0</v>
      </c>
      <c r="E66" s="7">
        <f>SUMIFS('Лист2'!C:C, 'Лист2'!A:A, A66, 'Лист2'!B:B, B66)</f>
        <v>10</v>
      </c>
      <c r="F66" s="7">
        <f>SUMIFS('Лист2'!D:D, 'Лист2'!A:A, A66, 'Лист2'!B:B, B66)</f>
        <v>677</v>
      </c>
      <c r="G66" s="7">
        <f>SUMIFS('Лист2'!E:E, 'Лист2'!A:A, A66, 'Лист2'!B:B, B66)</f>
        <v>591</v>
      </c>
      <c r="H66" s="8">
        <f t="shared" si="1"/>
        <v>93552.3</v>
      </c>
      <c r="I66" s="8">
        <f t="shared" si="2"/>
        <v>21</v>
      </c>
    </row>
    <row r="67" ht="14.25" customHeight="1">
      <c r="A67" s="9">
        <v>43971.0</v>
      </c>
      <c r="B67" s="10" t="s">
        <v>12</v>
      </c>
      <c r="C67" s="10">
        <v>13063.5</v>
      </c>
      <c r="D67" s="10">
        <v>1037247.0</v>
      </c>
      <c r="E67" s="7">
        <f>SUMIFS('Лист2'!C:C, 'Лист2'!A:A, A67, 'Лист2'!B:B, B67)</f>
        <v>10</v>
      </c>
      <c r="F67" s="7">
        <f>SUMIFS('Лист2'!D:D, 'Лист2'!A:A, A67, 'Лист2'!B:B, B67)</f>
        <v>745</v>
      </c>
      <c r="G67" s="7">
        <f>SUMIFS('Лист2'!E:E, 'Лист2'!A:A, A67, 'Лист2'!B:B, B67)</f>
        <v>654</v>
      </c>
      <c r="H67" s="8">
        <f t="shared" si="1"/>
        <v>103724.7</v>
      </c>
      <c r="I67" s="8">
        <f t="shared" si="2"/>
        <v>21</v>
      </c>
    </row>
    <row r="68" ht="14.25" customHeight="1">
      <c r="A68" s="5">
        <v>43956.0</v>
      </c>
      <c r="B68" s="6" t="s">
        <v>12</v>
      </c>
      <c r="C68" s="6">
        <v>10147.5</v>
      </c>
      <c r="D68" s="6">
        <v>793320.0</v>
      </c>
      <c r="E68" s="7">
        <f>SUMIFS('Лист2'!C:C, 'Лист2'!A:A, A68, 'Лист2'!B:B, B68)</f>
        <v>10</v>
      </c>
      <c r="F68" s="7">
        <f>SUMIFS('Лист2'!D:D, 'Лист2'!A:A, A68, 'Лист2'!B:B, B68)</f>
        <v>511</v>
      </c>
      <c r="G68" s="7">
        <f>SUMIFS('Лист2'!E:E, 'Лист2'!A:A, A68, 'Лист2'!B:B, B68)</f>
        <v>437</v>
      </c>
      <c r="H68" s="8">
        <f t="shared" si="1"/>
        <v>79332</v>
      </c>
      <c r="I68" s="8">
        <f t="shared" si="2"/>
        <v>19</v>
      </c>
    </row>
    <row r="69" ht="14.25" customHeight="1">
      <c r="A69" s="9">
        <v>43949.0</v>
      </c>
      <c r="B69" s="10" t="s">
        <v>12</v>
      </c>
      <c r="C69" s="10">
        <v>12331.5</v>
      </c>
      <c r="D69" s="10">
        <v>869983.5</v>
      </c>
      <c r="E69" s="7">
        <f>SUMIFS('Лист2'!C:C, 'Лист2'!A:A, A69, 'Лист2'!B:B, B69)</f>
        <v>10</v>
      </c>
      <c r="F69" s="7">
        <f>SUMIFS('Лист2'!D:D, 'Лист2'!A:A, A69, 'Лист2'!B:B, B69)</f>
        <v>580</v>
      </c>
      <c r="G69" s="7">
        <f>SUMIFS('Лист2'!E:E, 'Лист2'!A:A, A69, 'Лист2'!B:B, B69)</f>
        <v>506</v>
      </c>
      <c r="H69" s="8">
        <f t="shared" si="1"/>
        <v>86998.35</v>
      </c>
      <c r="I69" s="8">
        <f t="shared" si="2"/>
        <v>18</v>
      </c>
    </row>
    <row r="70" ht="14.25" customHeight="1">
      <c r="A70" s="5">
        <v>43964.0</v>
      </c>
      <c r="B70" s="6" t="s">
        <v>12</v>
      </c>
      <c r="C70" s="6">
        <v>11202.0</v>
      </c>
      <c r="D70" s="6">
        <v>865714.5</v>
      </c>
      <c r="E70" s="7">
        <f>SUMIFS('Лист2'!C:C, 'Лист2'!A:A, A70, 'Лист2'!B:B, B70)</f>
        <v>10</v>
      </c>
      <c r="F70" s="7">
        <f>SUMIFS('Лист2'!D:D, 'Лист2'!A:A, A70, 'Лист2'!B:B, B70)</f>
        <v>612</v>
      </c>
      <c r="G70" s="7">
        <f>SUMIFS('Лист2'!E:E, 'Лист2'!A:A, A70, 'Лист2'!B:B, B70)</f>
        <v>530</v>
      </c>
      <c r="H70" s="8">
        <f t="shared" si="1"/>
        <v>86571.45</v>
      </c>
      <c r="I70" s="8">
        <f t="shared" si="2"/>
        <v>20</v>
      </c>
    </row>
    <row r="71" ht="14.25" customHeight="1">
      <c r="A71" s="9">
        <v>43982.0</v>
      </c>
      <c r="B71" s="10" t="s">
        <v>11</v>
      </c>
      <c r="C71" s="10">
        <v>89149.5</v>
      </c>
      <c r="D71" s="10">
        <v>7512646.5</v>
      </c>
      <c r="E71" s="7">
        <f>SUMIFS('Лист2'!C:C, 'Лист2'!A:A, A71, 'Лист2'!B:B, B71)</f>
        <v>31</v>
      </c>
      <c r="F71" s="7">
        <f>SUMIFS('Лист2'!D:D, 'Лист2'!A:A, A71, 'Лист2'!B:B, B71)</f>
        <v>5760</v>
      </c>
      <c r="G71" s="7">
        <f>SUMIFS('Лист2'!E:E, 'Лист2'!A:A, A71, 'Лист2'!B:B, B71)</f>
        <v>5367</v>
      </c>
      <c r="H71" s="8">
        <f t="shared" si="1"/>
        <v>242343.4355</v>
      </c>
      <c r="I71" s="8">
        <f t="shared" si="2"/>
        <v>22</v>
      </c>
    </row>
    <row r="72" ht="14.25" customHeight="1">
      <c r="A72" s="5">
        <v>43954.0</v>
      </c>
      <c r="B72" s="6" t="s">
        <v>12</v>
      </c>
      <c r="C72" s="6">
        <v>8185.5</v>
      </c>
      <c r="D72" s="6">
        <v>637881.0</v>
      </c>
      <c r="E72" s="7">
        <f>SUMIFS('Лист2'!C:C, 'Лист2'!A:A, A72, 'Лист2'!B:B, B72)</f>
        <v>10</v>
      </c>
      <c r="F72" s="7">
        <f>SUMIFS('Лист2'!D:D, 'Лист2'!A:A, A72, 'Лист2'!B:B, B72)</f>
        <v>402</v>
      </c>
      <c r="G72" s="7">
        <f>SUMIFS('Лист2'!E:E, 'Лист2'!A:A, A72, 'Лист2'!B:B, B72)</f>
        <v>333</v>
      </c>
      <c r="H72" s="8">
        <f t="shared" si="1"/>
        <v>63788.1</v>
      </c>
      <c r="I72" s="8">
        <f t="shared" si="2"/>
        <v>18</v>
      </c>
    </row>
    <row r="73" ht="14.25" customHeight="1">
      <c r="A73" s="9">
        <v>43981.0</v>
      </c>
      <c r="B73" s="10" t="s">
        <v>11</v>
      </c>
      <c r="C73" s="10">
        <v>108123.0</v>
      </c>
      <c r="D73" s="10">
        <v>9164707.5</v>
      </c>
      <c r="E73" s="7">
        <f>SUMIFS('Лист2'!C:C, 'Лист2'!A:A, A73, 'Лист2'!B:B, B73)</f>
        <v>31</v>
      </c>
      <c r="F73" s="7">
        <f>SUMIFS('Лист2'!D:D, 'Лист2'!A:A, A73, 'Лист2'!B:B, B73)</f>
        <v>6735</v>
      </c>
      <c r="G73" s="7">
        <f>SUMIFS('Лист2'!E:E, 'Лист2'!A:A, A73, 'Лист2'!B:B, B73)</f>
        <v>6264</v>
      </c>
      <c r="H73" s="8">
        <f t="shared" si="1"/>
        <v>295635.7258</v>
      </c>
      <c r="I73" s="8">
        <f t="shared" si="2"/>
        <v>22</v>
      </c>
    </row>
    <row r="74" ht="14.25" customHeight="1">
      <c r="A74" s="5">
        <v>43957.0</v>
      </c>
      <c r="B74" s="6" t="s">
        <v>12</v>
      </c>
      <c r="C74" s="6">
        <v>9210.0</v>
      </c>
      <c r="D74" s="6">
        <v>696832.5</v>
      </c>
      <c r="E74" s="7">
        <f>SUMIFS('Лист2'!C:C, 'Лист2'!A:A, A74, 'Лист2'!B:B, B74)</f>
        <v>10</v>
      </c>
      <c r="F74" s="7">
        <f>SUMIFS('Лист2'!D:D, 'Лист2'!A:A, A74, 'Лист2'!B:B, B74)</f>
        <v>465</v>
      </c>
      <c r="G74" s="7">
        <f>SUMIFS('Лист2'!E:E, 'Лист2'!A:A, A74, 'Лист2'!B:B, B74)</f>
        <v>390</v>
      </c>
      <c r="H74" s="8">
        <f t="shared" si="1"/>
        <v>69683.25</v>
      </c>
      <c r="I74" s="8">
        <f t="shared" si="2"/>
        <v>19</v>
      </c>
    </row>
    <row r="75" ht="14.25" customHeight="1">
      <c r="A75" s="9">
        <v>43974.0</v>
      </c>
      <c r="B75" s="10" t="s">
        <v>12</v>
      </c>
      <c r="C75" s="10">
        <v>14773.5</v>
      </c>
      <c r="D75" s="10">
        <v>1241383.5</v>
      </c>
      <c r="E75" s="7">
        <f>SUMIFS('Лист2'!C:C, 'Лист2'!A:A, A75, 'Лист2'!B:B, B75)</f>
        <v>10</v>
      </c>
      <c r="F75" s="7">
        <f>SUMIFS('Лист2'!D:D, 'Лист2'!A:A, A75, 'Лист2'!B:B, B75)</f>
        <v>828</v>
      </c>
      <c r="G75" s="7">
        <f>SUMIFS('Лист2'!E:E, 'Лист2'!A:A, A75, 'Лист2'!B:B, B75)</f>
        <v>734</v>
      </c>
      <c r="H75" s="8">
        <f t="shared" si="1"/>
        <v>124138.35</v>
      </c>
      <c r="I75" s="8">
        <f t="shared" si="2"/>
        <v>21</v>
      </c>
    </row>
    <row r="76" ht="14.25" customHeight="1">
      <c r="A76" s="5">
        <v>43979.0</v>
      </c>
      <c r="B76" s="6" t="s">
        <v>11</v>
      </c>
      <c r="C76" s="6">
        <v>78141.0</v>
      </c>
      <c r="D76" s="6">
        <v>6641569.5</v>
      </c>
      <c r="E76" s="7">
        <f>SUMIFS('Лист2'!C:C, 'Лист2'!A:A, A76, 'Лист2'!B:B, B76)</f>
        <v>31</v>
      </c>
      <c r="F76" s="7">
        <f>SUMIFS('Лист2'!D:D, 'Лист2'!A:A, A76, 'Лист2'!B:B, B76)</f>
        <v>5355</v>
      </c>
      <c r="G76" s="7">
        <f>SUMIFS('Лист2'!E:E, 'Лист2'!A:A, A76, 'Лист2'!B:B, B76)</f>
        <v>4969</v>
      </c>
      <c r="H76" s="8">
        <f t="shared" si="1"/>
        <v>214244.1774</v>
      </c>
      <c r="I76" s="8">
        <f t="shared" si="2"/>
        <v>22</v>
      </c>
    </row>
    <row r="77" ht="14.25" customHeight="1">
      <c r="A77" s="9">
        <v>43976.0</v>
      </c>
      <c r="B77" s="10" t="s">
        <v>12</v>
      </c>
      <c r="C77" s="10">
        <v>12280.5</v>
      </c>
      <c r="D77" s="10">
        <v>1030440.0</v>
      </c>
      <c r="E77" s="7">
        <f>SUMIFS('Лист2'!C:C, 'Лист2'!A:A, A77, 'Лист2'!B:B, B77)</f>
        <v>10</v>
      </c>
      <c r="F77" s="7">
        <f>SUMIFS('Лист2'!D:D, 'Лист2'!A:A, A77, 'Лист2'!B:B, B77)</f>
        <v>739</v>
      </c>
      <c r="G77" s="7">
        <f>SUMIFS('Лист2'!E:E, 'Лист2'!A:A, A77, 'Лист2'!B:B, B77)</f>
        <v>642</v>
      </c>
      <c r="H77" s="8">
        <f t="shared" si="1"/>
        <v>103044</v>
      </c>
      <c r="I77" s="8">
        <f t="shared" si="2"/>
        <v>22</v>
      </c>
    </row>
    <row r="78" ht="14.25" customHeight="1">
      <c r="A78" s="5">
        <v>43951.0</v>
      </c>
      <c r="B78" s="6" t="s">
        <v>12</v>
      </c>
      <c r="C78" s="6">
        <v>8934.0</v>
      </c>
      <c r="D78" s="6">
        <v>716196.0</v>
      </c>
      <c r="E78" s="7">
        <f>SUMIFS('Лист2'!C:C, 'Лист2'!A:A, A78, 'Лист2'!B:B, B78)</f>
        <v>10</v>
      </c>
      <c r="F78" s="7">
        <f>SUMIFS('Лист2'!D:D, 'Лист2'!A:A, A78, 'Лист2'!B:B, B78)</f>
        <v>448</v>
      </c>
      <c r="G78" s="7">
        <f>SUMIFS('Лист2'!E:E, 'Лист2'!A:A, A78, 'Лист2'!B:B, B78)</f>
        <v>376</v>
      </c>
      <c r="H78" s="8">
        <f t="shared" si="1"/>
        <v>71619.6</v>
      </c>
      <c r="I78" s="8">
        <f t="shared" si="2"/>
        <v>18</v>
      </c>
    </row>
    <row r="79" ht="14.25" customHeight="1">
      <c r="A79" s="9">
        <v>43961.0</v>
      </c>
      <c r="B79" s="10" t="s">
        <v>12</v>
      </c>
      <c r="C79" s="10">
        <v>12918.0</v>
      </c>
      <c r="D79" s="10">
        <v>1004788.5</v>
      </c>
      <c r="E79" s="7">
        <f>SUMIFS('Лист2'!C:C, 'Лист2'!A:A, A79, 'Лист2'!B:B, B79)</f>
        <v>10</v>
      </c>
      <c r="F79" s="7">
        <f>SUMIFS('Лист2'!D:D, 'Лист2'!A:A, A79, 'Лист2'!B:B, B79)</f>
        <v>642</v>
      </c>
      <c r="G79" s="7">
        <f>SUMIFS('Лист2'!E:E, 'Лист2'!A:A, A79, 'Лист2'!B:B, B79)</f>
        <v>556</v>
      </c>
      <c r="H79" s="8">
        <f t="shared" si="1"/>
        <v>100478.85</v>
      </c>
      <c r="I79" s="8">
        <f t="shared" si="2"/>
        <v>19</v>
      </c>
    </row>
    <row r="80" ht="14.25" customHeight="1">
      <c r="A80" s="5">
        <v>43959.0</v>
      </c>
      <c r="B80" s="6" t="s">
        <v>12</v>
      </c>
      <c r="C80" s="6">
        <v>12528.0</v>
      </c>
      <c r="D80" s="6">
        <v>959703.0</v>
      </c>
      <c r="E80" s="7">
        <f>SUMIFS('Лист2'!C:C, 'Лист2'!A:A, A80, 'Лист2'!B:B, B80)</f>
        <v>10</v>
      </c>
      <c r="F80" s="7">
        <f>SUMIFS('Лист2'!D:D, 'Лист2'!A:A, A80, 'Лист2'!B:B, B80)</f>
        <v>638</v>
      </c>
      <c r="G80" s="7">
        <f>SUMIFS('Лист2'!E:E, 'Лист2'!A:A, A80, 'Лист2'!B:B, B80)</f>
        <v>547</v>
      </c>
      <c r="H80" s="8">
        <f t="shared" si="1"/>
        <v>95970.3</v>
      </c>
      <c r="I80" s="8">
        <f t="shared" si="2"/>
        <v>19</v>
      </c>
    </row>
    <row r="81" ht="14.25" customHeight="1">
      <c r="A81" s="9">
        <v>43958.0</v>
      </c>
      <c r="B81" s="10" t="s">
        <v>12</v>
      </c>
      <c r="C81" s="10">
        <v>11029.5</v>
      </c>
      <c r="D81" s="10">
        <v>863754.0</v>
      </c>
      <c r="E81" s="7">
        <f>SUMIFS('Лист2'!C:C, 'Лист2'!A:A, A81, 'Лист2'!B:B, B81)</f>
        <v>10</v>
      </c>
      <c r="F81" s="7">
        <f>SUMIFS('Лист2'!D:D, 'Лист2'!A:A, A81, 'Лист2'!B:B, B81)</f>
        <v>563</v>
      </c>
      <c r="G81" s="7">
        <f>SUMIFS('Лист2'!E:E, 'Лист2'!A:A, A81, 'Лист2'!B:B, B81)</f>
        <v>486</v>
      </c>
      <c r="H81" s="8">
        <f t="shared" si="1"/>
        <v>86375.4</v>
      </c>
      <c r="I81" s="8">
        <f t="shared" si="2"/>
        <v>19</v>
      </c>
    </row>
    <row r="82" ht="14.25" customHeight="1">
      <c r="A82" s="5">
        <v>43975.0</v>
      </c>
      <c r="B82" s="6" t="s">
        <v>12</v>
      </c>
      <c r="C82" s="6">
        <v>9994.5</v>
      </c>
      <c r="D82" s="6">
        <v>828984.0</v>
      </c>
      <c r="E82" s="7">
        <f>SUMIFS('Лист2'!C:C, 'Лист2'!A:A, A82, 'Лист2'!B:B, B82)</f>
        <v>10</v>
      </c>
      <c r="F82" s="7">
        <f>SUMIFS('Лист2'!D:D, 'Лист2'!A:A, A82, 'Лист2'!B:B, B82)</f>
        <v>639</v>
      </c>
      <c r="G82" s="7">
        <f>SUMIFS('Лист2'!E:E, 'Лист2'!A:A, A82, 'Лист2'!B:B, B82)</f>
        <v>557</v>
      </c>
      <c r="H82" s="8">
        <f t="shared" si="1"/>
        <v>82898.4</v>
      </c>
      <c r="I82" s="8">
        <f t="shared" si="2"/>
        <v>21</v>
      </c>
    </row>
    <row r="83" ht="14.25" customHeight="1">
      <c r="A83" s="9">
        <v>43982.0</v>
      </c>
      <c r="B83" s="10" t="s">
        <v>12</v>
      </c>
      <c r="C83" s="10">
        <v>12724.5</v>
      </c>
      <c r="D83" s="10">
        <v>1045515.0</v>
      </c>
      <c r="E83" s="7">
        <f>SUMIFS('Лист2'!C:C, 'Лист2'!A:A, A83, 'Лист2'!B:B, B83)</f>
        <v>10</v>
      </c>
      <c r="F83" s="7">
        <f>SUMIFS('Лист2'!D:D, 'Лист2'!A:A, A83, 'Лист2'!B:B, B83)</f>
        <v>749</v>
      </c>
      <c r="G83" s="7">
        <f>SUMIFS('Лист2'!E:E, 'Лист2'!A:A, A83, 'Лист2'!B:B, B83)</f>
        <v>655</v>
      </c>
      <c r="H83" s="8">
        <f t="shared" si="1"/>
        <v>104551.5</v>
      </c>
      <c r="I83" s="8">
        <f t="shared" si="2"/>
        <v>22</v>
      </c>
    </row>
    <row r="84" ht="14.25" customHeight="1">
      <c r="A84" s="5">
        <v>43981.0</v>
      </c>
      <c r="B84" s="6" t="s">
        <v>12</v>
      </c>
      <c r="C84" s="6">
        <v>14728.5</v>
      </c>
      <c r="D84" s="6">
        <v>1260483.0</v>
      </c>
      <c r="E84" s="7">
        <f>SUMIFS('Лист2'!C:C, 'Лист2'!A:A, A84, 'Лист2'!B:B, B84)</f>
        <v>10</v>
      </c>
      <c r="F84" s="7">
        <f>SUMIFS('Лист2'!D:D, 'Лист2'!A:A, A84, 'Лист2'!B:B, B84)</f>
        <v>865</v>
      </c>
      <c r="G84" s="7">
        <f>SUMIFS('Лист2'!E:E, 'Лист2'!A:A, A84, 'Лист2'!B:B, B84)</f>
        <v>763</v>
      </c>
      <c r="H84" s="8">
        <f t="shared" si="1"/>
        <v>126048.3</v>
      </c>
      <c r="I84" s="8">
        <f t="shared" si="2"/>
        <v>22</v>
      </c>
    </row>
    <row r="85" ht="14.25" customHeight="1">
      <c r="A85" s="9">
        <v>43979.0</v>
      </c>
      <c r="B85" s="10" t="s">
        <v>12</v>
      </c>
      <c r="C85" s="10">
        <v>13038.0</v>
      </c>
      <c r="D85" s="10">
        <v>1114552.5</v>
      </c>
      <c r="E85" s="7">
        <f>SUMIFS('Лист2'!C:C, 'Лист2'!A:A, A85, 'Лист2'!B:B, B85)</f>
        <v>10</v>
      </c>
      <c r="F85" s="7">
        <f>SUMIFS('Лист2'!D:D, 'Лист2'!A:A, A85, 'Лист2'!B:B, B85)</f>
        <v>791</v>
      </c>
      <c r="G85" s="7">
        <f>SUMIFS('Лист2'!E:E, 'Лист2'!A:A, A85, 'Лист2'!B:B, B85)</f>
        <v>697</v>
      </c>
      <c r="H85" s="8">
        <f t="shared" si="1"/>
        <v>111455.25</v>
      </c>
      <c r="I85" s="8">
        <f t="shared" si="2"/>
        <v>22</v>
      </c>
    </row>
    <row r="86" ht="14.25" customHeight="1">
      <c r="A86" s="5">
        <v>43967.0</v>
      </c>
      <c r="B86" s="6" t="s">
        <v>13</v>
      </c>
      <c r="C86" s="6">
        <v>35482.5</v>
      </c>
      <c r="D86" s="6">
        <v>3222517.5</v>
      </c>
      <c r="E86" s="7">
        <f>SUMIFS('Лист2'!C:C, 'Лист2'!A:A, A86, 'Лист2'!B:B, B86)</f>
        <v>19</v>
      </c>
      <c r="F86" s="7">
        <f>SUMIFS('Лист2'!D:D, 'Лист2'!A:A, A86, 'Лист2'!B:B, B86)</f>
        <v>2080</v>
      </c>
      <c r="G86" s="7">
        <f>SUMIFS('Лист2'!E:E, 'Лист2'!A:A, A86, 'Лист2'!B:B, B86)</f>
        <v>1844</v>
      </c>
      <c r="H86" s="8">
        <f t="shared" si="1"/>
        <v>169606.1842</v>
      </c>
      <c r="I86" s="8">
        <f t="shared" si="2"/>
        <v>20</v>
      </c>
    </row>
    <row r="87" ht="14.25" customHeight="1">
      <c r="A87" s="9">
        <v>43970.0</v>
      </c>
      <c r="B87" s="10" t="s">
        <v>13</v>
      </c>
      <c r="C87" s="10">
        <v>32434.5</v>
      </c>
      <c r="D87" s="10">
        <v>2865337.5</v>
      </c>
      <c r="E87" s="7">
        <f>SUMIFS('Лист2'!C:C, 'Лист2'!A:A, A87, 'Лист2'!B:B, B87)</f>
        <v>19</v>
      </c>
      <c r="F87" s="7">
        <f>SUMIFS('Лист2'!D:D, 'Лист2'!A:A, A87, 'Лист2'!B:B, B87)</f>
        <v>1999</v>
      </c>
      <c r="G87" s="7">
        <f>SUMIFS('Лист2'!E:E, 'Лист2'!A:A, A87, 'Лист2'!B:B, B87)</f>
        <v>1799</v>
      </c>
      <c r="H87" s="8">
        <f t="shared" si="1"/>
        <v>150807.2368</v>
      </c>
      <c r="I87" s="8">
        <f t="shared" si="2"/>
        <v>21</v>
      </c>
    </row>
    <row r="88" ht="14.25" customHeight="1">
      <c r="A88" s="5">
        <v>43968.0</v>
      </c>
      <c r="B88" s="6" t="s">
        <v>13</v>
      </c>
      <c r="C88" s="6">
        <v>30486.0</v>
      </c>
      <c r="D88" s="6">
        <v>2694289.5</v>
      </c>
      <c r="E88" s="7">
        <f>SUMIFS('Лист2'!C:C, 'Лист2'!A:A, A88, 'Лист2'!B:B, B88)</f>
        <v>19</v>
      </c>
      <c r="F88" s="7">
        <f>SUMIFS('Лист2'!D:D, 'Лист2'!A:A, A88, 'Лист2'!B:B, B88)</f>
        <v>1871</v>
      </c>
      <c r="G88" s="7">
        <f>SUMIFS('Лист2'!E:E, 'Лист2'!A:A, A88, 'Лист2'!B:B, B88)</f>
        <v>1660</v>
      </c>
      <c r="H88" s="8">
        <f t="shared" si="1"/>
        <v>141804.7105</v>
      </c>
      <c r="I88" s="8">
        <f t="shared" si="2"/>
        <v>20</v>
      </c>
    </row>
    <row r="89" ht="14.25" customHeight="1">
      <c r="A89" s="9">
        <v>43960.0</v>
      </c>
      <c r="B89" s="10" t="s">
        <v>13</v>
      </c>
      <c r="C89" s="10">
        <v>32079.0</v>
      </c>
      <c r="D89" s="10">
        <v>2902167.0</v>
      </c>
      <c r="E89" s="7">
        <f>SUMIFS('Лист2'!C:C, 'Лист2'!A:A, A89, 'Лист2'!B:B, B89)</f>
        <v>19</v>
      </c>
      <c r="F89" s="7">
        <f>SUMIFS('Лист2'!D:D, 'Лист2'!A:A, A89, 'Лист2'!B:B, B89)</f>
        <v>1851</v>
      </c>
      <c r="G89" s="7">
        <f>SUMIFS('Лист2'!E:E, 'Лист2'!A:A, A89, 'Лист2'!B:B, B89)</f>
        <v>1635</v>
      </c>
      <c r="H89" s="8">
        <f t="shared" si="1"/>
        <v>152745.6316</v>
      </c>
      <c r="I89" s="8">
        <f t="shared" si="2"/>
        <v>19</v>
      </c>
    </row>
    <row r="90" ht="14.25" customHeight="1">
      <c r="A90" s="5">
        <v>43955.0</v>
      </c>
      <c r="B90" s="6" t="s">
        <v>13</v>
      </c>
      <c r="C90" s="6">
        <v>27072.0</v>
      </c>
      <c r="D90" s="6">
        <v>2450968.5</v>
      </c>
      <c r="E90" s="7">
        <f>SUMIFS('Лист2'!C:C, 'Лист2'!A:A, A90, 'Лист2'!B:B, B90)</f>
        <v>19</v>
      </c>
      <c r="F90" s="7">
        <f>SUMIFS('Лист2'!D:D, 'Лист2'!A:A, A90, 'Лист2'!B:B, B90)</f>
        <v>1582</v>
      </c>
      <c r="G90" s="7">
        <f>SUMIFS('Лист2'!E:E, 'Лист2'!A:A, A90, 'Лист2'!B:B, B90)</f>
        <v>1403</v>
      </c>
      <c r="H90" s="8">
        <f t="shared" si="1"/>
        <v>128998.3421</v>
      </c>
      <c r="I90" s="8">
        <f t="shared" si="2"/>
        <v>19</v>
      </c>
    </row>
    <row r="91" ht="14.25" customHeight="1">
      <c r="A91" s="9">
        <v>43950.0</v>
      </c>
      <c r="B91" s="10" t="s">
        <v>13</v>
      </c>
      <c r="C91" s="10">
        <v>25917.0</v>
      </c>
      <c r="D91" s="10">
        <v>2397588.0</v>
      </c>
      <c r="E91" s="7">
        <f>SUMIFS('Лист2'!C:C, 'Лист2'!A:A, A91, 'Лист2'!B:B, B91)</f>
        <v>18</v>
      </c>
      <c r="F91" s="7">
        <f>SUMIFS('Лист2'!D:D, 'Лист2'!A:A, A91, 'Лист2'!B:B, B91)</f>
        <v>1534</v>
      </c>
      <c r="G91" s="7">
        <f>SUMIFS('Лист2'!E:E, 'Лист2'!A:A, A91, 'Лист2'!B:B, B91)</f>
        <v>1369</v>
      </c>
      <c r="H91" s="8">
        <f t="shared" si="1"/>
        <v>133199.3333</v>
      </c>
      <c r="I91" s="8">
        <f t="shared" si="2"/>
        <v>18</v>
      </c>
    </row>
    <row r="92" ht="14.25" customHeight="1">
      <c r="A92" s="5">
        <v>43953.0</v>
      </c>
      <c r="B92" s="6" t="s">
        <v>13</v>
      </c>
      <c r="C92" s="6">
        <v>19461.0</v>
      </c>
      <c r="D92" s="6">
        <v>1799230.5</v>
      </c>
      <c r="E92" s="7">
        <f>SUMIFS('Лист2'!C:C, 'Лист2'!A:A, A92, 'Лист2'!B:B, B92)</f>
        <v>19</v>
      </c>
      <c r="F92" s="7">
        <f>SUMIFS('Лист2'!D:D, 'Лист2'!A:A, A92, 'Лист2'!B:B, B92)</f>
        <v>1217</v>
      </c>
      <c r="G92" s="7">
        <f>SUMIFS('Лист2'!E:E, 'Лист2'!A:A, A92, 'Лист2'!B:B, B92)</f>
        <v>1048</v>
      </c>
      <c r="H92" s="8">
        <f t="shared" si="1"/>
        <v>94696.34211</v>
      </c>
      <c r="I92" s="8">
        <f t="shared" si="2"/>
        <v>18</v>
      </c>
    </row>
    <row r="93" ht="14.25" customHeight="1">
      <c r="A93" s="9">
        <v>43977.0</v>
      </c>
      <c r="B93" s="10" t="s">
        <v>13</v>
      </c>
      <c r="C93" s="10">
        <v>31407.0</v>
      </c>
      <c r="D93" s="10">
        <v>2907411.0</v>
      </c>
      <c r="E93" s="7">
        <f>SUMIFS('Лист2'!C:C, 'Лист2'!A:A, A93, 'Лист2'!B:B, B93)</f>
        <v>20</v>
      </c>
      <c r="F93" s="7">
        <f>SUMIFS('Лист2'!D:D, 'Лист2'!A:A, A93, 'Лист2'!B:B, B93)</f>
        <v>2036</v>
      </c>
      <c r="G93" s="7">
        <f>SUMIFS('Лист2'!E:E, 'Лист2'!A:A, A93, 'Лист2'!B:B, B93)</f>
        <v>1790</v>
      </c>
      <c r="H93" s="8">
        <f t="shared" si="1"/>
        <v>145370.55</v>
      </c>
      <c r="I93" s="8">
        <f t="shared" si="2"/>
        <v>22</v>
      </c>
    </row>
    <row r="94" ht="14.25" customHeight="1">
      <c r="A94" s="5">
        <v>43952.0</v>
      </c>
      <c r="B94" s="6" t="s">
        <v>13</v>
      </c>
      <c r="C94" s="6">
        <v>25792.5</v>
      </c>
      <c r="D94" s="6">
        <v>2374356.0</v>
      </c>
      <c r="E94" s="7">
        <f>SUMIFS('Лист2'!C:C, 'Лист2'!A:A, A94, 'Лист2'!B:B, B94)</f>
        <v>19</v>
      </c>
      <c r="F94" s="7">
        <f>SUMIFS('Лист2'!D:D, 'Лист2'!A:A, A94, 'Лист2'!B:B, B94)</f>
        <v>1497</v>
      </c>
      <c r="G94" s="7">
        <f>SUMIFS('Лист2'!E:E, 'Лист2'!A:A, A94, 'Лист2'!B:B, B94)</f>
        <v>1291</v>
      </c>
      <c r="H94" s="8">
        <f t="shared" si="1"/>
        <v>124966.1053</v>
      </c>
      <c r="I94" s="8">
        <f t="shared" si="2"/>
        <v>18</v>
      </c>
    </row>
    <row r="95" ht="14.25" customHeight="1">
      <c r="A95" s="9">
        <v>43963.0</v>
      </c>
      <c r="B95" s="10" t="s">
        <v>13</v>
      </c>
      <c r="C95" s="10">
        <v>26032.5</v>
      </c>
      <c r="D95" s="10">
        <v>2370432.0</v>
      </c>
      <c r="E95" s="7">
        <f>SUMIFS('Лист2'!C:C, 'Лист2'!A:A, A95, 'Лист2'!B:B, B95)</f>
        <v>19</v>
      </c>
      <c r="F95" s="7">
        <f>SUMIFS('Лист2'!D:D, 'Лист2'!A:A, A95, 'Лист2'!B:B, B95)</f>
        <v>1649</v>
      </c>
      <c r="G95" s="7">
        <f>SUMIFS('Лист2'!E:E, 'Лист2'!A:A, A95, 'Лист2'!B:B, B95)</f>
        <v>1460</v>
      </c>
      <c r="H95" s="8">
        <f t="shared" si="1"/>
        <v>124759.5789</v>
      </c>
      <c r="I95" s="8">
        <f t="shared" si="2"/>
        <v>20</v>
      </c>
    </row>
    <row r="96" ht="14.25" customHeight="1">
      <c r="A96" s="5">
        <v>43972.0</v>
      </c>
      <c r="B96" s="6" t="s">
        <v>13</v>
      </c>
      <c r="C96" s="6">
        <v>31707.0</v>
      </c>
      <c r="D96" s="6">
        <v>2853181.5</v>
      </c>
      <c r="E96" s="7">
        <f>SUMIFS('Лист2'!C:C, 'Лист2'!A:A, A96, 'Лист2'!B:B, B96)</f>
        <v>19</v>
      </c>
      <c r="F96" s="7">
        <f>SUMIFS('Лист2'!D:D, 'Лист2'!A:A, A96, 'Лист2'!B:B, B96)</f>
        <v>1949</v>
      </c>
      <c r="G96" s="7">
        <f>SUMIFS('Лист2'!E:E, 'Лист2'!A:A, A96, 'Лист2'!B:B, B96)</f>
        <v>1724</v>
      </c>
      <c r="H96" s="8">
        <f t="shared" si="1"/>
        <v>150167.4474</v>
      </c>
      <c r="I96" s="8">
        <f t="shared" si="2"/>
        <v>21</v>
      </c>
    </row>
    <row r="97" ht="14.25" customHeight="1">
      <c r="A97" s="9">
        <v>43971.0</v>
      </c>
      <c r="B97" s="10" t="s">
        <v>13</v>
      </c>
      <c r="C97" s="10">
        <v>29955.0</v>
      </c>
      <c r="D97" s="10">
        <v>2692230.0</v>
      </c>
      <c r="E97" s="7">
        <f>SUMIFS('Лист2'!C:C, 'Лист2'!A:A, A97, 'Лист2'!B:B, B97)</f>
        <v>19</v>
      </c>
      <c r="F97" s="7">
        <f>SUMIFS('Лист2'!D:D, 'Лист2'!A:A, A97, 'Лист2'!B:B, B97)</f>
        <v>1889</v>
      </c>
      <c r="G97" s="7">
        <f>SUMIFS('Лист2'!E:E, 'Лист2'!A:A, A97, 'Лист2'!B:B, B97)</f>
        <v>1690</v>
      </c>
      <c r="H97" s="8">
        <f t="shared" si="1"/>
        <v>141696.3158</v>
      </c>
      <c r="I97" s="8">
        <f t="shared" si="2"/>
        <v>21</v>
      </c>
    </row>
    <row r="98" ht="14.25" customHeight="1">
      <c r="A98" s="5">
        <v>43956.0</v>
      </c>
      <c r="B98" s="6" t="s">
        <v>13</v>
      </c>
      <c r="C98" s="6">
        <v>22848.0</v>
      </c>
      <c r="D98" s="6">
        <v>2079900.0</v>
      </c>
      <c r="E98" s="7">
        <f>SUMIFS('Лист2'!C:C, 'Лист2'!A:A, A98, 'Лист2'!B:B, B98)</f>
        <v>19</v>
      </c>
      <c r="F98" s="7">
        <f>SUMIFS('Лист2'!D:D, 'Лист2'!A:A, A98, 'Лист2'!B:B, B98)</f>
        <v>1417</v>
      </c>
      <c r="G98" s="7">
        <f>SUMIFS('Лист2'!E:E, 'Лист2'!A:A, A98, 'Лист2'!B:B, B98)</f>
        <v>1245</v>
      </c>
      <c r="H98" s="8">
        <f t="shared" si="1"/>
        <v>109468.4211</v>
      </c>
      <c r="I98" s="8">
        <f t="shared" si="2"/>
        <v>19</v>
      </c>
    </row>
    <row r="99" ht="14.25" customHeight="1">
      <c r="A99" s="9">
        <v>43949.0</v>
      </c>
      <c r="B99" s="10" t="s">
        <v>13</v>
      </c>
      <c r="C99" s="10">
        <v>23314.5</v>
      </c>
      <c r="D99" s="10">
        <v>2136817.5</v>
      </c>
      <c r="E99" s="7">
        <f>SUMIFS('Лист2'!C:C, 'Лист2'!A:A, A99, 'Лист2'!B:B, B99)</f>
        <v>17</v>
      </c>
      <c r="F99" s="7">
        <f>SUMIFS('Лист2'!D:D, 'Лист2'!A:A, A99, 'Лист2'!B:B, B99)</f>
        <v>1439</v>
      </c>
      <c r="G99" s="7">
        <f>SUMIFS('Лист2'!E:E, 'Лист2'!A:A, A99, 'Лист2'!B:B, B99)</f>
        <v>1265</v>
      </c>
      <c r="H99" s="8">
        <f t="shared" si="1"/>
        <v>125695.1471</v>
      </c>
      <c r="I99" s="8">
        <f t="shared" si="2"/>
        <v>18</v>
      </c>
    </row>
    <row r="100" ht="14.25" customHeight="1">
      <c r="A100" s="5">
        <v>43964.0</v>
      </c>
      <c r="B100" s="6" t="s">
        <v>13</v>
      </c>
      <c r="C100" s="6">
        <v>26464.5</v>
      </c>
      <c r="D100" s="6">
        <v>2373337.5</v>
      </c>
      <c r="E100" s="7">
        <f>SUMIFS('Лист2'!C:C, 'Лист2'!A:A, A100, 'Лист2'!B:B, B100)</f>
        <v>19</v>
      </c>
      <c r="F100" s="7">
        <f>SUMIFS('Лист2'!D:D, 'Лист2'!A:A, A100, 'Лист2'!B:B, B100)</f>
        <v>1625</v>
      </c>
      <c r="G100" s="7">
        <f>SUMIFS('Лист2'!E:E, 'Лист2'!A:A, A100, 'Лист2'!B:B, B100)</f>
        <v>1444</v>
      </c>
      <c r="H100" s="8">
        <f t="shared" si="1"/>
        <v>124912.5</v>
      </c>
      <c r="I100" s="8">
        <f t="shared" si="2"/>
        <v>20</v>
      </c>
    </row>
    <row r="101" ht="14.25" customHeight="1">
      <c r="A101" s="9">
        <v>43954.0</v>
      </c>
      <c r="B101" s="10" t="s">
        <v>13</v>
      </c>
      <c r="C101" s="10">
        <v>23539.5</v>
      </c>
      <c r="D101" s="10">
        <v>2170309.5</v>
      </c>
      <c r="E101" s="7">
        <f>SUMIFS('Лист2'!C:C, 'Лист2'!A:A, A101, 'Лист2'!B:B, B101)</f>
        <v>19</v>
      </c>
      <c r="F101" s="7">
        <f>SUMIFS('Лист2'!D:D, 'Лист2'!A:A, A101, 'Лист2'!B:B, B101)</f>
        <v>1402</v>
      </c>
      <c r="G101" s="7">
        <f>SUMIFS('Лист2'!E:E, 'Лист2'!A:A, A101, 'Лист2'!B:B, B101)</f>
        <v>1234</v>
      </c>
      <c r="H101" s="8">
        <f t="shared" si="1"/>
        <v>114226.8158</v>
      </c>
      <c r="I101" s="8">
        <f t="shared" si="2"/>
        <v>18</v>
      </c>
    </row>
    <row r="102" ht="14.25" customHeight="1">
      <c r="A102" s="5">
        <v>43957.0</v>
      </c>
      <c r="B102" s="6" t="s">
        <v>13</v>
      </c>
      <c r="C102" s="6">
        <v>24678.0</v>
      </c>
      <c r="D102" s="6">
        <v>2232519.0</v>
      </c>
      <c r="E102" s="7">
        <f>SUMIFS('Лист2'!C:C, 'Лист2'!A:A, A102, 'Лист2'!B:B, B102)</f>
        <v>19</v>
      </c>
      <c r="F102" s="7">
        <f>SUMIFS('Лист2'!D:D, 'Лист2'!A:A, A102, 'Лист2'!B:B, B102)</f>
        <v>1499</v>
      </c>
      <c r="G102" s="7">
        <f>SUMIFS('Лист2'!E:E, 'Лист2'!A:A, A102, 'Лист2'!B:B, B102)</f>
        <v>1323</v>
      </c>
      <c r="H102" s="8">
        <f t="shared" si="1"/>
        <v>117501</v>
      </c>
      <c r="I102" s="8">
        <f t="shared" si="2"/>
        <v>19</v>
      </c>
    </row>
    <row r="103" ht="14.25" customHeight="1">
      <c r="A103" s="9">
        <v>43974.0</v>
      </c>
      <c r="B103" s="10" t="s">
        <v>13</v>
      </c>
      <c r="C103" s="10">
        <v>38176.5</v>
      </c>
      <c r="D103" s="10">
        <v>3385372.5</v>
      </c>
      <c r="E103" s="7">
        <f>SUMIFS('Лист2'!C:C, 'Лист2'!A:A, A103, 'Лист2'!B:B, B103)</f>
        <v>20</v>
      </c>
      <c r="F103" s="7">
        <f>SUMIFS('Лист2'!D:D, 'Лист2'!A:A, A103, 'Лист2'!B:B, B103)</f>
        <v>2266</v>
      </c>
      <c r="G103" s="7">
        <f>SUMIFS('Лист2'!E:E, 'Лист2'!A:A, A103, 'Лист2'!B:B, B103)</f>
        <v>1993</v>
      </c>
      <c r="H103" s="8">
        <f t="shared" si="1"/>
        <v>169268.625</v>
      </c>
      <c r="I103" s="8">
        <f t="shared" si="2"/>
        <v>21</v>
      </c>
    </row>
    <row r="104" ht="14.25" customHeight="1">
      <c r="A104" s="5">
        <v>43976.0</v>
      </c>
      <c r="B104" s="6" t="s">
        <v>13</v>
      </c>
      <c r="C104" s="6">
        <v>30603.0</v>
      </c>
      <c r="D104" s="6">
        <v>2865727.5</v>
      </c>
      <c r="E104" s="7">
        <f>SUMIFS('Лист2'!C:C, 'Лист2'!A:A, A104, 'Лист2'!B:B, B104)</f>
        <v>20</v>
      </c>
      <c r="F104" s="7">
        <f>SUMIFS('Лист2'!D:D, 'Лист2'!A:A, A104, 'Лист2'!B:B, B104)</f>
        <v>2011</v>
      </c>
      <c r="G104" s="7">
        <f>SUMIFS('Лист2'!E:E, 'Лист2'!A:A, A104, 'Лист2'!B:B, B104)</f>
        <v>1791</v>
      </c>
      <c r="H104" s="8">
        <f t="shared" si="1"/>
        <v>143286.375</v>
      </c>
      <c r="I104" s="8">
        <f t="shared" si="2"/>
        <v>22</v>
      </c>
    </row>
    <row r="105" ht="14.25" customHeight="1">
      <c r="A105" s="9">
        <v>43951.0</v>
      </c>
      <c r="B105" s="10" t="s">
        <v>13</v>
      </c>
      <c r="C105" s="10">
        <v>24211.5</v>
      </c>
      <c r="D105" s="10">
        <v>2267664.0</v>
      </c>
      <c r="E105" s="7">
        <f>SUMIFS('Лист2'!C:C, 'Лист2'!A:A, A105, 'Лист2'!B:B, B105)</f>
        <v>19</v>
      </c>
      <c r="F105" s="7">
        <f>SUMIFS('Лист2'!D:D, 'Лист2'!A:A, A105, 'Лист2'!B:B, B105)</f>
        <v>1499</v>
      </c>
      <c r="G105" s="7">
        <f>SUMIFS('Лист2'!E:E, 'Лист2'!A:A, A105, 'Лист2'!B:B, B105)</f>
        <v>1322</v>
      </c>
      <c r="H105" s="8">
        <f t="shared" si="1"/>
        <v>119350.7368</v>
      </c>
      <c r="I105" s="8">
        <f t="shared" si="2"/>
        <v>18</v>
      </c>
    </row>
    <row r="106" ht="14.25" customHeight="1">
      <c r="A106" s="5">
        <v>43961.0</v>
      </c>
      <c r="B106" s="6" t="s">
        <v>13</v>
      </c>
      <c r="C106" s="6">
        <v>31399.5</v>
      </c>
      <c r="D106" s="6">
        <v>2862298.5</v>
      </c>
      <c r="E106" s="7">
        <f>SUMIFS('Лист2'!C:C, 'Лист2'!A:A, A106, 'Лист2'!B:B, B106)</f>
        <v>19</v>
      </c>
      <c r="F106" s="7">
        <f>SUMIFS('Лист2'!D:D, 'Лист2'!A:A, A106, 'Лист2'!B:B, B106)</f>
        <v>1848</v>
      </c>
      <c r="G106" s="7">
        <f>SUMIFS('Лист2'!E:E, 'Лист2'!A:A, A106, 'Лист2'!B:B, B106)</f>
        <v>1649</v>
      </c>
      <c r="H106" s="8">
        <f t="shared" si="1"/>
        <v>150647.2895</v>
      </c>
      <c r="I106" s="8">
        <f t="shared" si="2"/>
        <v>19</v>
      </c>
    </row>
    <row r="107" ht="14.25" customHeight="1">
      <c r="A107" s="9">
        <v>43959.0</v>
      </c>
      <c r="B107" s="10" t="s">
        <v>13</v>
      </c>
      <c r="C107" s="10">
        <v>25294.5</v>
      </c>
      <c r="D107" s="10">
        <v>2271454.5</v>
      </c>
      <c r="E107" s="7">
        <f>SUMIFS('Лист2'!C:C, 'Лист2'!A:A, A107, 'Лист2'!B:B, B107)</f>
        <v>19</v>
      </c>
      <c r="F107" s="7">
        <f>SUMIFS('Лист2'!D:D, 'Лист2'!A:A, A107, 'Лист2'!B:B, B107)</f>
        <v>1522</v>
      </c>
      <c r="G107" s="7">
        <f>SUMIFS('Лист2'!E:E, 'Лист2'!A:A, A107, 'Лист2'!B:B, B107)</f>
        <v>1340</v>
      </c>
      <c r="H107" s="8">
        <f t="shared" si="1"/>
        <v>119550.2368</v>
      </c>
      <c r="I107" s="8">
        <f t="shared" si="2"/>
        <v>19</v>
      </c>
    </row>
    <row r="108" ht="14.25" customHeight="1">
      <c r="A108" s="5">
        <v>43958.0</v>
      </c>
      <c r="B108" s="6" t="s">
        <v>13</v>
      </c>
      <c r="C108" s="6">
        <v>25468.5</v>
      </c>
      <c r="D108" s="6">
        <v>2350672.5</v>
      </c>
      <c r="E108" s="7">
        <f>SUMIFS('Лист2'!C:C, 'Лист2'!A:A, A108, 'Лист2'!B:B, B108)</f>
        <v>19</v>
      </c>
      <c r="F108" s="7">
        <f>SUMIFS('Лист2'!D:D, 'Лист2'!A:A, A108, 'Лист2'!B:B, B108)</f>
        <v>1530</v>
      </c>
      <c r="G108" s="7">
        <f>SUMIFS('Лист2'!E:E, 'Лист2'!A:A, A108, 'Лист2'!B:B, B108)</f>
        <v>1338</v>
      </c>
      <c r="H108" s="8">
        <f t="shared" si="1"/>
        <v>123719.6053</v>
      </c>
      <c r="I108" s="8">
        <f t="shared" si="2"/>
        <v>19</v>
      </c>
    </row>
    <row r="109" ht="14.25" customHeight="1">
      <c r="A109" s="9">
        <v>43975.0</v>
      </c>
      <c r="B109" s="10" t="s">
        <v>13</v>
      </c>
      <c r="C109" s="10">
        <v>31854.0</v>
      </c>
      <c r="D109" s="10">
        <v>2915533.5</v>
      </c>
      <c r="E109" s="7">
        <f>SUMIFS('Лист2'!C:C, 'Лист2'!A:A, A109, 'Лист2'!B:B, B109)</f>
        <v>20</v>
      </c>
      <c r="F109" s="7">
        <f>SUMIFS('Лист2'!D:D, 'Лист2'!A:A, A109, 'Лист2'!B:B, B109)</f>
        <v>2015</v>
      </c>
      <c r="G109" s="7">
        <f>SUMIFS('Лист2'!E:E, 'Лист2'!A:A, A109, 'Лист2'!B:B, B109)</f>
        <v>1803</v>
      </c>
      <c r="H109" s="8">
        <f t="shared" si="1"/>
        <v>145776.675</v>
      </c>
      <c r="I109" s="8">
        <f t="shared" si="2"/>
        <v>21</v>
      </c>
    </row>
    <row r="110" ht="14.25" customHeight="1">
      <c r="A110" s="5">
        <v>43982.0</v>
      </c>
      <c r="B110" s="6" t="s">
        <v>13</v>
      </c>
      <c r="C110" s="6">
        <v>32359.5</v>
      </c>
      <c r="D110" s="6">
        <v>2991999.0</v>
      </c>
      <c r="E110" s="7">
        <f>SUMIFS('Лист2'!C:C, 'Лист2'!A:A, A110, 'Лист2'!B:B, B110)</f>
        <v>20</v>
      </c>
      <c r="F110" s="7">
        <f>SUMIFS('Лист2'!D:D, 'Лист2'!A:A, A110, 'Лист2'!B:B, B110)</f>
        <v>2060</v>
      </c>
      <c r="G110" s="7">
        <f>SUMIFS('Лист2'!E:E, 'Лист2'!A:A, A110, 'Лист2'!B:B, B110)</f>
        <v>1826</v>
      </c>
      <c r="H110" s="8">
        <f t="shared" si="1"/>
        <v>149599.95</v>
      </c>
      <c r="I110" s="8">
        <f t="shared" si="2"/>
        <v>22</v>
      </c>
    </row>
    <row r="111" ht="14.25" customHeight="1">
      <c r="A111" s="9">
        <v>43981.0</v>
      </c>
      <c r="B111" s="10" t="s">
        <v>13</v>
      </c>
      <c r="C111" s="10">
        <v>39867.0</v>
      </c>
      <c r="D111" s="10">
        <v>3654166.5</v>
      </c>
      <c r="E111" s="7">
        <f>SUMIFS('Лист2'!C:C, 'Лист2'!A:A, A111, 'Лист2'!B:B, B111)</f>
        <v>20</v>
      </c>
      <c r="F111" s="7">
        <f>SUMIFS('Лист2'!D:D, 'Лист2'!A:A, A111, 'Лист2'!B:B, B111)</f>
        <v>2451</v>
      </c>
      <c r="G111" s="7">
        <f>SUMIFS('Лист2'!E:E, 'Лист2'!A:A, A111, 'Лист2'!B:B, B111)</f>
        <v>2178</v>
      </c>
      <c r="H111" s="8">
        <f t="shared" si="1"/>
        <v>182708.325</v>
      </c>
      <c r="I111" s="8">
        <f t="shared" si="2"/>
        <v>22</v>
      </c>
    </row>
    <row r="112" ht="14.25" customHeight="1">
      <c r="A112" s="5">
        <v>43979.0</v>
      </c>
      <c r="B112" s="6" t="s">
        <v>13</v>
      </c>
      <c r="C112" s="6">
        <v>31974.0</v>
      </c>
      <c r="D112" s="6">
        <v>3004213.5</v>
      </c>
      <c r="E112" s="7">
        <f>SUMIFS('Лист2'!C:C, 'Лист2'!A:A, A112, 'Лист2'!B:B, B112)</f>
        <v>20</v>
      </c>
      <c r="F112" s="7">
        <f>SUMIFS('Лист2'!D:D, 'Лист2'!A:A, A112, 'Лист2'!B:B, B112)</f>
        <v>2088</v>
      </c>
      <c r="G112" s="7">
        <f>SUMIFS('Лист2'!E:E, 'Лист2'!A:A, A112, 'Лист2'!B:B, B112)</f>
        <v>1848</v>
      </c>
      <c r="H112" s="8">
        <f t="shared" si="1"/>
        <v>150210.675</v>
      </c>
      <c r="I112" s="8">
        <f t="shared" si="2"/>
        <v>22</v>
      </c>
    </row>
    <row r="113" ht="14.25" customHeight="1">
      <c r="A113" s="9">
        <v>43967.0</v>
      </c>
      <c r="B113" s="10" t="s">
        <v>14</v>
      </c>
      <c r="C113" s="10">
        <v>321412.5</v>
      </c>
      <c r="D113" s="10">
        <v>3.2235864E7</v>
      </c>
      <c r="E113" s="7">
        <f>SUMIFS('Лист2'!C:C, 'Лист2'!A:A, A113, 'Лист2'!B:B, B113)</f>
        <v>129</v>
      </c>
      <c r="F113" s="7">
        <f>SUMIFS('Лист2'!D:D, 'Лист2'!A:A, A113, 'Лист2'!B:B, B113)</f>
        <v>17914</v>
      </c>
      <c r="G113" s="7">
        <f>SUMIFS('Лист2'!E:E, 'Лист2'!A:A, A113, 'Лист2'!B:B, B113)</f>
        <v>16631</v>
      </c>
      <c r="H113" s="8">
        <f t="shared" si="1"/>
        <v>249890.4186</v>
      </c>
      <c r="I113" s="8">
        <f t="shared" si="2"/>
        <v>20</v>
      </c>
    </row>
    <row r="114" ht="14.25" customHeight="1">
      <c r="A114" s="5">
        <v>43970.0</v>
      </c>
      <c r="B114" s="6" t="s">
        <v>14</v>
      </c>
      <c r="C114" s="6">
        <v>276568.5</v>
      </c>
      <c r="D114" s="6">
        <v>2.7093624E7</v>
      </c>
      <c r="E114" s="7">
        <f>SUMIFS('Лист2'!C:C, 'Лист2'!A:A, A114, 'Лист2'!B:B, B114)</f>
        <v>129</v>
      </c>
      <c r="F114" s="7">
        <f>SUMIFS('Лист2'!D:D, 'Лист2'!A:A, A114, 'Лист2'!B:B, B114)</f>
        <v>16191</v>
      </c>
      <c r="G114" s="7">
        <f>SUMIFS('Лист2'!E:E, 'Лист2'!A:A, A114, 'Лист2'!B:B, B114)</f>
        <v>15102</v>
      </c>
      <c r="H114" s="8">
        <f t="shared" si="1"/>
        <v>210028.093</v>
      </c>
      <c r="I114" s="8">
        <f t="shared" si="2"/>
        <v>21</v>
      </c>
    </row>
    <row r="115" ht="14.25" customHeight="1">
      <c r="A115" s="9">
        <v>43968.0</v>
      </c>
      <c r="B115" s="10" t="s">
        <v>14</v>
      </c>
      <c r="C115" s="10">
        <v>269029.5</v>
      </c>
      <c r="D115" s="10">
        <v>2.66599305E7</v>
      </c>
      <c r="E115" s="7">
        <f>SUMIFS('Лист2'!C:C, 'Лист2'!A:A, A115, 'Лист2'!B:B, B115)</f>
        <v>129</v>
      </c>
      <c r="F115" s="7">
        <f>SUMIFS('Лист2'!D:D, 'Лист2'!A:A, A115, 'Лист2'!B:B, B115)</f>
        <v>15744</v>
      </c>
      <c r="G115" s="7">
        <f>SUMIFS('Лист2'!E:E, 'Лист2'!A:A, A115, 'Лист2'!B:B, B115)</f>
        <v>14685</v>
      </c>
      <c r="H115" s="8">
        <f t="shared" si="1"/>
        <v>206666.1279</v>
      </c>
      <c r="I115" s="8">
        <f t="shared" si="2"/>
        <v>20</v>
      </c>
    </row>
    <row r="116" ht="14.25" customHeight="1">
      <c r="A116" s="5">
        <v>43960.0</v>
      </c>
      <c r="B116" s="6" t="s">
        <v>14</v>
      </c>
      <c r="C116" s="6">
        <v>285972.0</v>
      </c>
      <c r="D116" s="6">
        <v>2.9768199E7</v>
      </c>
      <c r="E116" s="7">
        <f>SUMIFS('Лист2'!C:C, 'Лист2'!A:A, A116, 'Лист2'!B:B, B116)</f>
        <v>129</v>
      </c>
      <c r="F116" s="7">
        <f>SUMIFS('Лист2'!D:D, 'Лист2'!A:A, A116, 'Лист2'!B:B, B116)</f>
        <v>16420</v>
      </c>
      <c r="G116" s="7">
        <f>SUMIFS('Лист2'!E:E, 'Лист2'!A:A, A116, 'Лист2'!B:B, B116)</f>
        <v>15169</v>
      </c>
      <c r="H116" s="8">
        <f t="shared" si="1"/>
        <v>230761.2326</v>
      </c>
      <c r="I116" s="8">
        <f t="shared" si="2"/>
        <v>19</v>
      </c>
    </row>
    <row r="117" ht="14.25" customHeight="1">
      <c r="A117" s="9">
        <v>43955.0</v>
      </c>
      <c r="B117" s="10" t="s">
        <v>14</v>
      </c>
      <c r="C117" s="10">
        <v>283942.5</v>
      </c>
      <c r="D117" s="10">
        <v>2.935794E7</v>
      </c>
      <c r="E117" s="7">
        <f>SUMIFS('Лист2'!C:C, 'Лист2'!A:A, A117, 'Лист2'!B:B, B117)</f>
        <v>129</v>
      </c>
      <c r="F117" s="7">
        <f>SUMIFS('Лист2'!D:D, 'Лист2'!A:A, A117, 'Лист2'!B:B, B117)</f>
        <v>16525</v>
      </c>
      <c r="G117" s="7">
        <f>SUMIFS('Лист2'!E:E, 'Лист2'!A:A, A117, 'Лист2'!B:B, B117)</f>
        <v>15310</v>
      </c>
      <c r="H117" s="8">
        <f t="shared" si="1"/>
        <v>227580.9302</v>
      </c>
      <c r="I117" s="8">
        <f t="shared" si="2"/>
        <v>19</v>
      </c>
    </row>
    <row r="118" ht="14.25" customHeight="1">
      <c r="A118" s="5">
        <v>43950.0</v>
      </c>
      <c r="B118" s="6" t="s">
        <v>14</v>
      </c>
      <c r="C118" s="6">
        <v>298059.0</v>
      </c>
      <c r="D118" s="6">
        <v>3.08692875E7</v>
      </c>
      <c r="E118" s="7">
        <f>SUMIFS('Лист2'!C:C, 'Лист2'!A:A, A118, 'Лист2'!B:B, B118)</f>
        <v>128</v>
      </c>
      <c r="F118" s="7">
        <f>SUMIFS('Лист2'!D:D, 'Лист2'!A:A, A118, 'Лист2'!B:B, B118)</f>
        <v>17368</v>
      </c>
      <c r="G118" s="7">
        <f>SUMIFS('Лист2'!E:E, 'Лист2'!A:A, A118, 'Лист2'!B:B, B118)</f>
        <v>16077</v>
      </c>
      <c r="H118" s="8">
        <f t="shared" si="1"/>
        <v>241166.3086</v>
      </c>
      <c r="I118" s="8">
        <f t="shared" si="2"/>
        <v>18</v>
      </c>
    </row>
    <row r="119" ht="14.25" customHeight="1">
      <c r="A119" s="9">
        <v>43953.0</v>
      </c>
      <c r="B119" s="10" t="s">
        <v>14</v>
      </c>
      <c r="C119" s="10">
        <v>232903.5</v>
      </c>
      <c r="D119" s="10">
        <v>2.43420165E7</v>
      </c>
      <c r="E119" s="7">
        <f>SUMIFS('Лист2'!C:C, 'Лист2'!A:A, A119, 'Лист2'!B:B, B119)</f>
        <v>129</v>
      </c>
      <c r="F119" s="7">
        <f>SUMIFS('Лист2'!D:D, 'Лист2'!A:A, A119, 'Лист2'!B:B, B119)</f>
        <v>14009</v>
      </c>
      <c r="G119" s="7">
        <f>SUMIFS('Лист2'!E:E, 'Лист2'!A:A, A119, 'Лист2'!B:B, B119)</f>
        <v>12920</v>
      </c>
      <c r="H119" s="8">
        <f t="shared" si="1"/>
        <v>188697.8023</v>
      </c>
      <c r="I119" s="8">
        <f t="shared" si="2"/>
        <v>18</v>
      </c>
    </row>
    <row r="120" ht="14.25" customHeight="1">
      <c r="A120" s="5">
        <v>43977.0</v>
      </c>
      <c r="B120" s="6" t="s">
        <v>14</v>
      </c>
      <c r="C120" s="6">
        <v>276966.0</v>
      </c>
      <c r="D120" s="6">
        <v>2.787261789885E7</v>
      </c>
      <c r="E120" s="7">
        <f>SUMIFS('Лист2'!C:C, 'Лист2'!A:A, A120, 'Лист2'!B:B, B120)</f>
        <v>129</v>
      </c>
      <c r="F120" s="7">
        <f>SUMIFS('Лист2'!D:D, 'Лист2'!A:A, A120, 'Лист2'!B:B, B120)</f>
        <v>16459</v>
      </c>
      <c r="G120" s="7">
        <f>SUMIFS('Лист2'!E:E, 'Лист2'!A:A, A120, 'Лист2'!B:B, B120)</f>
        <v>15355</v>
      </c>
      <c r="H120" s="8">
        <f t="shared" si="1"/>
        <v>216066.8054</v>
      </c>
      <c r="I120" s="8">
        <f t="shared" si="2"/>
        <v>22</v>
      </c>
    </row>
    <row r="121" ht="14.25" customHeight="1">
      <c r="A121" s="9">
        <v>43952.0</v>
      </c>
      <c r="B121" s="10" t="s">
        <v>14</v>
      </c>
      <c r="C121" s="10">
        <v>296149.5</v>
      </c>
      <c r="D121" s="10">
        <v>3.10533165E7</v>
      </c>
      <c r="E121" s="7">
        <f>SUMIFS('Лист2'!C:C, 'Лист2'!A:A, A121, 'Лист2'!B:B, B121)</f>
        <v>129</v>
      </c>
      <c r="F121" s="7">
        <f>SUMIFS('Лист2'!D:D, 'Лист2'!A:A, A121, 'Лист2'!B:B, B121)</f>
        <v>17002</v>
      </c>
      <c r="G121" s="7">
        <f>SUMIFS('Лист2'!E:E, 'Лист2'!A:A, A121, 'Лист2'!B:B, B121)</f>
        <v>15570</v>
      </c>
      <c r="H121" s="8">
        <f t="shared" si="1"/>
        <v>240723.3837</v>
      </c>
      <c r="I121" s="8">
        <f t="shared" si="2"/>
        <v>18</v>
      </c>
    </row>
    <row r="122" ht="14.25" customHeight="1">
      <c r="A122" s="5">
        <v>43963.0</v>
      </c>
      <c r="B122" s="6" t="s">
        <v>14</v>
      </c>
      <c r="C122" s="6">
        <v>281796.0</v>
      </c>
      <c r="D122" s="6">
        <v>2.904252E7</v>
      </c>
      <c r="E122" s="7">
        <f>SUMIFS('Лист2'!C:C, 'Лист2'!A:A, A122, 'Лист2'!B:B, B122)</f>
        <v>129</v>
      </c>
      <c r="F122" s="7">
        <f>SUMIFS('Лист2'!D:D, 'Лист2'!A:A, A122, 'Лист2'!B:B, B122)</f>
        <v>16387</v>
      </c>
      <c r="G122" s="7">
        <f>SUMIFS('Лист2'!E:E, 'Лист2'!A:A, A122, 'Лист2'!B:B, B122)</f>
        <v>15322</v>
      </c>
      <c r="H122" s="8">
        <f t="shared" si="1"/>
        <v>225135.814</v>
      </c>
      <c r="I122" s="8">
        <f t="shared" si="2"/>
        <v>20</v>
      </c>
    </row>
    <row r="123" ht="14.25" customHeight="1">
      <c r="A123" s="9">
        <v>43972.0</v>
      </c>
      <c r="B123" s="10" t="s">
        <v>14</v>
      </c>
      <c r="C123" s="10">
        <v>288936.0</v>
      </c>
      <c r="D123" s="10">
        <v>2.78529E7</v>
      </c>
      <c r="E123" s="7">
        <f>SUMIFS('Лист2'!C:C, 'Лист2'!A:A, A123, 'Лист2'!B:B, B123)</f>
        <v>129</v>
      </c>
      <c r="F123" s="7">
        <f>SUMIFS('Лист2'!D:D, 'Лист2'!A:A, A123, 'Лист2'!B:B, B123)</f>
        <v>16373</v>
      </c>
      <c r="G123" s="7">
        <f>SUMIFS('Лист2'!E:E, 'Лист2'!A:A, A123, 'Лист2'!B:B, B123)</f>
        <v>15223</v>
      </c>
      <c r="H123" s="8">
        <f t="shared" si="1"/>
        <v>215913.9535</v>
      </c>
      <c r="I123" s="8">
        <f t="shared" si="2"/>
        <v>21</v>
      </c>
    </row>
    <row r="124" ht="14.25" customHeight="1">
      <c r="A124" s="5">
        <v>43971.0</v>
      </c>
      <c r="B124" s="6" t="s">
        <v>14</v>
      </c>
      <c r="C124" s="6">
        <v>300151.5</v>
      </c>
      <c r="D124" s="6">
        <v>2.936877161745E7</v>
      </c>
      <c r="E124" s="7">
        <f>SUMIFS('Лист2'!C:C, 'Лист2'!A:A, A124, 'Лист2'!B:B, B124)</f>
        <v>129</v>
      </c>
      <c r="F124" s="7">
        <f>SUMIFS('Лист2'!D:D, 'Лист2'!A:A, A124, 'Лист2'!B:B, B124)</f>
        <v>17095</v>
      </c>
      <c r="G124" s="7">
        <f>SUMIFS('Лист2'!E:E, 'Лист2'!A:A, A124, 'Лист2'!B:B, B124)</f>
        <v>15919</v>
      </c>
      <c r="H124" s="8">
        <f t="shared" si="1"/>
        <v>227664.8963</v>
      </c>
      <c r="I124" s="8">
        <f t="shared" si="2"/>
        <v>21</v>
      </c>
    </row>
    <row r="125" ht="14.25" customHeight="1">
      <c r="A125" s="9">
        <v>43956.0</v>
      </c>
      <c r="B125" s="10" t="s">
        <v>14</v>
      </c>
      <c r="C125" s="10">
        <v>262734.0</v>
      </c>
      <c r="D125" s="10">
        <v>2.7278441145E7</v>
      </c>
      <c r="E125" s="7">
        <f>SUMIFS('Лист2'!C:C, 'Лист2'!A:A, A125, 'Лист2'!B:B, B125)</f>
        <v>129</v>
      </c>
      <c r="F125" s="7">
        <f>SUMIFS('Лист2'!D:D, 'Лист2'!A:A, A125, 'Лист2'!B:B, B125)</f>
        <v>15665</v>
      </c>
      <c r="G125" s="7">
        <f>SUMIFS('Лист2'!E:E, 'Лист2'!A:A, A125, 'Лист2'!B:B, B125)</f>
        <v>14501</v>
      </c>
      <c r="H125" s="8">
        <f t="shared" si="1"/>
        <v>211460.7841</v>
      </c>
      <c r="I125" s="8">
        <f t="shared" si="2"/>
        <v>19</v>
      </c>
    </row>
    <row r="126" ht="14.25" customHeight="1">
      <c r="A126" s="5">
        <v>43949.0</v>
      </c>
      <c r="B126" s="6" t="s">
        <v>14</v>
      </c>
      <c r="C126" s="6">
        <v>286002.0</v>
      </c>
      <c r="D126" s="6">
        <v>2.91590325E7</v>
      </c>
      <c r="E126" s="7">
        <f>SUMIFS('Лист2'!C:C, 'Лист2'!A:A, A126, 'Лист2'!B:B, B126)</f>
        <v>128</v>
      </c>
      <c r="F126" s="7">
        <f>SUMIFS('Лист2'!D:D, 'Лист2'!A:A, A126, 'Лист2'!B:B, B126)</f>
        <v>16450</v>
      </c>
      <c r="G126" s="7">
        <f>SUMIFS('Лист2'!E:E, 'Лист2'!A:A, A126, 'Лист2'!B:B, B126)</f>
        <v>15320</v>
      </c>
      <c r="H126" s="8">
        <f t="shared" si="1"/>
        <v>227804.9414</v>
      </c>
      <c r="I126" s="8">
        <f t="shared" si="2"/>
        <v>18</v>
      </c>
    </row>
    <row r="127" ht="14.25" customHeight="1">
      <c r="A127" s="9">
        <v>43964.0</v>
      </c>
      <c r="B127" s="10" t="s">
        <v>14</v>
      </c>
      <c r="C127" s="10">
        <v>258459.0</v>
      </c>
      <c r="D127" s="10">
        <v>2.64674535E7</v>
      </c>
      <c r="E127" s="7">
        <f>SUMIFS('Лист2'!C:C, 'Лист2'!A:A, A127, 'Лист2'!B:B, B127)</f>
        <v>129</v>
      </c>
      <c r="F127" s="7">
        <f>SUMIFS('Лист2'!D:D, 'Лист2'!A:A, A127, 'Лист2'!B:B, B127)</f>
        <v>15304</v>
      </c>
      <c r="G127" s="7">
        <f>SUMIFS('Лист2'!E:E, 'Лист2'!A:A, A127, 'Лист2'!B:B, B127)</f>
        <v>14315</v>
      </c>
      <c r="H127" s="8">
        <f t="shared" si="1"/>
        <v>205174.0581</v>
      </c>
      <c r="I127" s="8">
        <f t="shared" si="2"/>
        <v>20</v>
      </c>
    </row>
    <row r="128" ht="14.25" customHeight="1">
      <c r="A128" s="5">
        <v>43954.0</v>
      </c>
      <c r="B128" s="6" t="s">
        <v>14</v>
      </c>
      <c r="C128" s="6">
        <v>274083.0</v>
      </c>
      <c r="D128" s="6">
        <v>2.8427001E7</v>
      </c>
      <c r="E128" s="7">
        <f>SUMIFS('Лист2'!C:C, 'Лист2'!A:A, A128, 'Лист2'!B:B, B128)</f>
        <v>129</v>
      </c>
      <c r="F128" s="7">
        <f>SUMIFS('Лист2'!D:D, 'Лист2'!A:A, A128, 'Лист2'!B:B, B128)</f>
        <v>15778</v>
      </c>
      <c r="G128" s="7">
        <f>SUMIFS('Лист2'!E:E, 'Лист2'!A:A, A128, 'Лист2'!B:B, B128)</f>
        <v>14624</v>
      </c>
      <c r="H128" s="8">
        <f t="shared" si="1"/>
        <v>220364.3488</v>
      </c>
      <c r="I128" s="8">
        <f t="shared" si="2"/>
        <v>18</v>
      </c>
    </row>
    <row r="129" ht="14.25" customHeight="1">
      <c r="A129" s="9">
        <v>43957.0</v>
      </c>
      <c r="B129" s="10" t="s">
        <v>14</v>
      </c>
      <c r="C129" s="10">
        <v>277512.0</v>
      </c>
      <c r="D129" s="10">
        <v>2.87708101056E7</v>
      </c>
      <c r="E129" s="7">
        <f>SUMIFS('Лист2'!C:C, 'Лист2'!A:A, A129, 'Лист2'!B:B, B129)</f>
        <v>129</v>
      </c>
      <c r="F129" s="7">
        <f>SUMIFS('Лист2'!D:D, 'Лист2'!A:A, A129, 'Лист2'!B:B, B129)</f>
        <v>16376</v>
      </c>
      <c r="G129" s="7">
        <f>SUMIFS('Лист2'!E:E, 'Лист2'!A:A, A129, 'Лист2'!B:B, B129)</f>
        <v>15197</v>
      </c>
      <c r="H129" s="8">
        <f t="shared" si="1"/>
        <v>223029.5357</v>
      </c>
      <c r="I129" s="8">
        <f t="shared" si="2"/>
        <v>19</v>
      </c>
    </row>
    <row r="130" ht="14.25" customHeight="1">
      <c r="A130" s="5">
        <v>43974.0</v>
      </c>
      <c r="B130" s="6" t="s">
        <v>14</v>
      </c>
      <c r="C130" s="6">
        <v>356982.0</v>
      </c>
      <c r="D130" s="6">
        <v>3.510392671155E7</v>
      </c>
      <c r="E130" s="7">
        <f>SUMIFS('Лист2'!C:C, 'Лист2'!A:A, A130, 'Лист2'!B:B, B130)</f>
        <v>129</v>
      </c>
      <c r="F130" s="7">
        <f>SUMIFS('Лист2'!D:D, 'Лист2'!A:A, A130, 'Лист2'!B:B, B130)</f>
        <v>19856</v>
      </c>
      <c r="G130" s="7">
        <f>SUMIFS('Лист2'!E:E, 'Лист2'!A:A, A130, 'Лист2'!B:B, B130)</f>
        <v>18325</v>
      </c>
      <c r="H130" s="8">
        <f t="shared" si="1"/>
        <v>272123.4629</v>
      </c>
      <c r="I130" s="8">
        <f t="shared" si="2"/>
        <v>21</v>
      </c>
    </row>
    <row r="131" ht="14.25" customHeight="1">
      <c r="A131" s="9">
        <v>43976.0</v>
      </c>
      <c r="B131" s="10" t="s">
        <v>14</v>
      </c>
      <c r="C131" s="10">
        <v>266983.5</v>
      </c>
      <c r="D131" s="10">
        <v>2.71659135E7</v>
      </c>
      <c r="E131" s="7">
        <f>SUMIFS('Лист2'!C:C, 'Лист2'!A:A, A131, 'Лист2'!B:B, B131)</f>
        <v>129</v>
      </c>
      <c r="F131" s="7">
        <f>SUMIFS('Лист2'!D:D, 'Лист2'!A:A, A131, 'Лист2'!B:B, B131)</f>
        <v>15822</v>
      </c>
      <c r="G131" s="7">
        <f>SUMIFS('Лист2'!E:E, 'Лист2'!A:A, A131, 'Лист2'!B:B, B131)</f>
        <v>14753</v>
      </c>
      <c r="H131" s="8">
        <f t="shared" si="1"/>
        <v>210588.4767</v>
      </c>
      <c r="I131" s="8">
        <f t="shared" si="2"/>
        <v>22</v>
      </c>
    </row>
    <row r="132" ht="14.25" customHeight="1">
      <c r="A132" s="5">
        <v>43951.0</v>
      </c>
      <c r="B132" s="6" t="s">
        <v>14</v>
      </c>
      <c r="C132" s="6">
        <v>311131.5</v>
      </c>
      <c r="D132" s="6">
        <v>3.2418879E7</v>
      </c>
      <c r="E132" s="7">
        <f>SUMIFS('Лист2'!C:C, 'Лист2'!A:A, A132, 'Лист2'!B:B, B132)</f>
        <v>129</v>
      </c>
      <c r="F132" s="7">
        <f>SUMIFS('Лист2'!D:D, 'Лист2'!A:A, A132, 'Лист2'!B:B, B132)</f>
        <v>18042</v>
      </c>
      <c r="G132" s="7">
        <f>SUMIFS('Лист2'!E:E, 'Лист2'!A:A, A132, 'Лист2'!B:B, B132)</f>
        <v>16631</v>
      </c>
      <c r="H132" s="8">
        <f t="shared" si="1"/>
        <v>251309.1395</v>
      </c>
      <c r="I132" s="8">
        <f t="shared" si="2"/>
        <v>18</v>
      </c>
    </row>
    <row r="133" ht="14.25" customHeight="1">
      <c r="A133" s="9">
        <v>43961.0</v>
      </c>
      <c r="B133" s="10" t="s">
        <v>14</v>
      </c>
      <c r="C133" s="10">
        <v>287206.5</v>
      </c>
      <c r="D133" s="10">
        <v>2.953617610605E7</v>
      </c>
      <c r="E133" s="7">
        <f>SUMIFS('Лист2'!C:C, 'Лист2'!A:A, A133, 'Лист2'!B:B, B133)</f>
        <v>129</v>
      </c>
      <c r="F133" s="7">
        <f>SUMIFS('Лист2'!D:D, 'Лист2'!A:A, A133, 'Лист2'!B:B, B133)</f>
        <v>16437</v>
      </c>
      <c r="G133" s="7">
        <f>SUMIFS('Лист2'!E:E, 'Лист2'!A:A, A133, 'Лист2'!B:B, B133)</f>
        <v>15285</v>
      </c>
      <c r="H133" s="8">
        <f t="shared" si="1"/>
        <v>228962.6055</v>
      </c>
      <c r="I133" s="8">
        <f t="shared" si="2"/>
        <v>19</v>
      </c>
    </row>
    <row r="134" ht="14.25" customHeight="1">
      <c r="A134" s="5">
        <v>43959.0</v>
      </c>
      <c r="B134" s="6" t="s">
        <v>14</v>
      </c>
      <c r="C134" s="6">
        <v>370092.0</v>
      </c>
      <c r="D134" s="6">
        <v>3.80915565E7</v>
      </c>
      <c r="E134" s="7">
        <f>SUMIFS('Лист2'!C:C, 'Лист2'!A:A, A134, 'Лист2'!B:B, B134)</f>
        <v>129</v>
      </c>
      <c r="F134" s="7">
        <f>SUMIFS('Лист2'!D:D, 'Лист2'!A:A, A134, 'Лист2'!B:B, B134)</f>
        <v>20452</v>
      </c>
      <c r="G134" s="7">
        <f>SUMIFS('Лист2'!E:E, 'Лист2'!A:A, A134, 'Лист2'!B:B, B134)</f>
        <v>18857</v>
      </c>
      <c r="H134" s="8">
        <f t="shared" si="1"/>
        <v>295283.3837</v>
      </c>
      <c r="I134" s="8">
        <f t="shared" si="2"/>
        <v>19</v>
      </c>
    </row>
    <row r="135" ht="14.25" customHeight="1">
      <c r="A135" s="9">
        <v>43958.0</v>
      </c>
      <c r="B135" s="10" t="s">
        <v>14</v>
      </c>
      <c r="C135" s="10">
        <v>247813.5</v>
      </c>
      <c r="D135" s="10">
        <v>2.5325271E7</v>
      </c>
      <c r="E135" s="7">
        <f>SUMIFS('Лист2'!C:C, 'Лист2'!A:A, A135, 'Лист2'!B:B, B135)</f>
        <v>129</v>
      </c>
      <c r="F135" s="7">
        <f>SUMIFS('Лист2'!D:D, 'Лист2'!A:A, A135, 'Лист2'!B:B, B135)</f>
        <v>14582</v>
      </c>
      <c r="G135" s="7">
        <f>SUMIFS('Лист2'!E:E, 'Лист2'!A:A, A135, 'Лист2'!B:B, B135)</f>
        <v>13512</v>
      </c>
      <c r="H135" s="8">
        <f t="shared" si="1"/>
        <v>196319.9302</v>
      </c>
      <c r="I135" s="8">
        <f t="shared" si="2"/>
        <v>19</v>
      </c>
    </row>
    <row r="136" ht="14.25" customHeight="1">
      <c r="A136" s="5">
        <v>43975.0</v>
      </c>
      <c r="B136" s="6" t="s">
        <v>14</v>
      </c>
      <c r="C136" s="6">
        <v>287740.5</v>
      </c>
      <c r="D136" s="6">
        <v>2.8188534E7</v>
      </c>
      <c r="E136" s="7">
        <f>SUMIFS('Лист2'!C:C, 'Лист2'!A:A, A136, 'Лист2'!B:B, B136)</f>
        <v>129</v>
      </c>
      <c r="F136" s="7">
        <f>SUMIFS('Лист2'!D:D, 'Лист2'!A:A, A136, 'Лист2'!B:B, B136)</f>
        <v>16432</v>
      </c>
      <c r="G136" s="7">
        <f>SUMIFS('Лист2'!E:E, 'Лист2'!A:A, A136, 'Лист2'!B:B, B136)</f>
        <v>15345</v>
      </c>
      <c r="H136" s="8">
        <f t="shared" si="1"/>
        <v>218515.7674</v>
      </c>
      <c r="I136" s="8">
        <f t="shared" si="2"/>
        <v>21</v>
      </c>
    </row>
    <row r="137" ht="14.25" customHeight="1">
      <c r="A137" s="9">
        <v>43967.0</v>
      </c>
      <c r="B137" s="10" t="s">
        <v>15</v>
      </c>
      <c r="C137" s="10">
        <v>408810.0</v>
      </c>
      <c r="D137" s="10">
        <v>4.2323631E7</v>
      </c>
      <c r="E137" s="7">
        <f>SUMIFS('Лист2'!C:C, 'Лист2'!A:A, A137, 'Лист2'!B:B, B137)</f>
        <v>125</v>
      </c>
      <c r="F137" s="7">
        <f>SUMIFS('Лист2'!D:D, 'Лист2'!A:A, A137, 'Лист2'!B:B, B137)</f>
        <v>22291</v>
      </c>
      <c r="G137" s="7">
        <f>SUMIFS('Лист2'!E:E, 'Лист2'!A:A, A137, 'Лист2'!B:B, B137)</f>
        <v>20635</v>
      </c>
      <c r="H137" s="8">
        <f t="shared" si="1"/>
        <v>338589.048</v>
      </c>
      <c r="I137" s="8">
        <f t="shared" si="2"/>
        <v>20</v>
      </c>
    </row>
    <row r="138" ht="14.25" customHeight="1">
      <c r="A138" s="5">
        <v>43970.0</v>
      </c>
      <c r="B138" s="6" t="s">
        <v>15</v>
      </c>
      <c r="C138" s="6">
        <v>362536.5</v>
      </c>
      <c r="D138" s="6">
        <v>3.7023243E7</v>
      </c>
      <c r="E138" s="7">
        <f>SUMIFS('Лист2'!C:C, 'Лист2'!A:A, A138, 'Лист2'!B:B, B138)</f>
        <v>125</v>
      </c>
      <c r="F138" s="7">
        <f>SUMIFS('Лист2'!D:D, 'Лист2'!A:A, A138, 'Лист2'!B:B, B138)</f>
        <v>20771</v>
      </c>
      <c r="G138" s="7">
        <f>SUMIFS('Лист2'!E:E, 'Лист2'!A:A, A138, 'Лист2'!B:B, B138)</f>
        <v>19338</v>
      </c>
      <c r="H138" s="8">
        <f t="shared" si="1"/>
        <v>296185.944</v>
      </c>
      <c r="I138" s="8">
        <f t="shared" si="2"/>
        <v>21</v>
      </c>
    </row>
    <row r="139" ht="14.25" customHeight="1">
      <c r="A139" s="9">
        <v>43968.0</v>
      </c>
      <c r="B139" s="10" t="s">
        <v>15</v>
      </c>
      <c r="C139" s="10">
        <v>357072.0</v>
      </c>
      <c r="D139" s="10">
        <v>3.6834567E7</v>
      </c>
      <c r="E139" s="7">
        <f>SUMIFS('Лист2'!C:C, 'Лист2'!A:A, A139, 'Лист2'!B:B, B139)</f>
        <v>125</v>
      </c>
      <c r="F139" s="7">
        <f>SUMIFS('Лист2'!D:D, 'Лист2'!A:A, A139, 'Лист2'!B:B, B139)</f>
        <v>20079</v>
      </c>
      <c r="G139" s="7">
        <f>SUMIFS('Лист2'!E:E, 'Лист2'!A:A, A139, 'Лист2'!B:B, B139)</f>
        <v>18721</v>
      </c>
      <c r="H139" s="8">
        <f t="shared" si="1"/>
        <v>294676.536</v>
      </c>
      <c r="I139" s="8">
        <f t="shared" si="2"/>
        <v>20</v>
      </c>
    </row>
    <row r="140" ht="14.25" customHeight="1">
      <c r="A140" s="5">
        <v>43960.0</v>
      </c>
      <c r="B140" s="6" t="s">
        <v>15</v>
      </c>
      <c r="C140" s="6">
        <v>359214.0</v>
      </c>
      <c r="D140" s="6">
        <v>3.8693427E7</v>
      </c>
      <c r="E140" s="7">
        <f>SUMIFS('Лист2'!C:C, 'Лист2'!A:A, A140, 'Лист2'!B:B, B140)</f>
        <v>125</v>
      </c>
      <c r="F140" s="7">
        <f>SUMIFS('Лист2'!D:D, 'Лист2'!A:A, A140, 'Лист2'!B:B, B140)</f>
        <v>20132</v>
      </c>
      <c r="G140" s="7">
        <f>SUMIFS('Лист2'!E:E, 'Лист2'!A:A, A140, 'Лист2'!B:B, B140)</f>
        <v>18617</v>
      </c>
      <c r="H140" s="8">
        <f t="shared" si="1"/>
        <v>309547.416</v>
      </c>
      <c r="I140" s="8">
        <f t="shared" si="2"/>
        <v>19</v>
      </c>
    </row>
    <row r="141" ht="14.25" customHeight="1">
      <c r="A141" s="9">
        <v>43955.0</v>
      </c>
      <c r="B141" s="10" t="s">
        <v>15</v>
      </c>
      <c r="C141" s="10">
        <v>360255.0</v>
      </c>
      <c r="D141" s="10">
        <v>3.8406954E7</v>
      </c>
      <c r="E141" s="7">
        <f>SUMIFS('Лист2'!C:C, 'Лист2'!A:A, A141, 'Лист2'!B:B, B141)</f>
        <v>125</v>
      </c>
      <c r="F141" s="7">
        <f>SUMIFS('Лист2'!D:D, 'Лист2'!A:A, A141, 'Лист2'!B:B, B141)</f>
        <v>20495</v>
      </c>
      <c r="G141" s="7">
        <f>SUMIFS('Лист2'!E:E, 'Лист2'!A:A, A141, 'Лист2'!B:B, B141)</f>
        <v>18964</v>
      </c>
      <c r="H141" s="8">
        <f t="shared" si="1"/>
        <v>307255.632</v>
      </c>
      <c r="I141" s="8">
        <f t="shared" si="2"/>
        <v>19</v>
      </c>
    </row>
    <row r="142" ht="14.25" customHeight="1">
      <c r="A142" s="5">
        <v>43950.0</v>
      </c>
      <c r="B142" s="6" t="s">
        <v>15</v>
      </c>
      <c r="C142" s="6">
        <v>387220.5</v>
      </c>
      <c r="D142" s="6">
        <v>4.1559384E7</v>
      </c>
      <c r="E142" s="7">
        <f>SUMIFS('Лист2'!C:C, 'Лист2'!A:A, A142, 'Лист2'!B:B, B142)</f>
        <v>125</v>
      </c>
      <c r="F142" s="7">
        <f>SUMIFS('Лист2'!D:D, 'Лист2'!A:A, A142, 'Лист2'!B:B, B142)</f>
        <v>21863</v>
      </c>
      <c r="G142" s="7">
        <f>SUMIFS('Лист2'!E:E, 'Лист2'!A:A, A142, 'Лист2'!B:B, B142)</f>
        <v>20160</v>
      </c>
      <c r="H142" s="8">
        <f t="shared" si="1"/>
        <v>332475.072</v>
      </c>
      <c r="I142" s="8">
        <f t="shared" si="2"/>
        <v>18</v>
      </c>
    </row>
    <row r="143" ht="14.25" customHeight="1">
      <c r="A143" s="9">
        <v>43953.0</v>
      </c>
      <c r="B143" s="10" t="s">
        <v>15</v>
      </c>
      <c r="C143" s="10">
        <v>296580.0</v>
      </c>
      <c r="D143" s="10">
        <v>3.1843737E7</v>
      </c>
      <c r="E143" s="7">
        <f>SUMIFS('Лист2'!C:C, 'Лист2'!A:A, A143, 'Лист2'!B:B, B143)</f>
        <v>125</v>
      </c>
      <c r="F143" s="7">
        <f>SUMIFS('Лист2'!D:D, 'Лист2'!A:A, A143, 'Лист2'!B:B, B143)</f>
        <v>16932</v>
      </c>
      <c r="G143" s="7">
        <f>SUMIFS('Лист2'!E:E, 'Лист2'!A:A, A143, 'Лист2'!B:B, B143)</f>
        <v>15601</v>
      </c>
      <c r="H143" s="8">
        <f t="shared" si="1"/>
        <v>254749.896</v>
      </c>
      <c r="I143" s="8">
        <f t="shared" si="2"/>
        <v>18</v>
      </c>
    </row>
    <row r="144" ht="14.25" customHeight="1">
      <c r="A144" s="5">
        <v>43977.0</v>
      </c>
      <c r="B144" s="6" t="s">
        <v>15</v>
      </c>
      <c r="C144" s="6">
        <v>369861.0</v>
      </c>
      <c r="D144" s="6">
        <v>3.83659605E7</v>
      </c>
      <c r="E144" s="7">
        <f>SUMIFS('Лист2'!C:C, 'Лист2'!A:A, A144, 'Лист2'!B:B, B144)</f>
        <v>124</v>
      </c>
      <c r="F144" s="7">
        <f>SUMIFS('Лист2'!D:D, 'Лист2'!A:A, A144, 'Лист2'!B:B, B144)</f>
        <v>21153</v>
      </c>
      <c r="G144" s="7">
        <f>SUMIFS('Лист2'!E:E, 'Лист2'!A:A, A144, 'Лист2'!B:B, B144)</f>
        <v>19673</v>
      </c>
      <c r="H144" s="8">
        <f t="shared" si="1"/>
        <v>309402.9073</v>
      </c>
      <c r="I144" s="8">
        <f t="shared" si="2"/>
        <v>22</v>
      </c>
    </row>
    <row r="145" ht="14.25" customHeight="1">
      <c r="A145" s="9">
        <v>43952.0</v>
      </c>
      <c r="B145" s="10" t="s">
        <v>15</v>
      </c>
      <c r="C145" s="10">
        <v>372504.0</v>
      </c>
      <c r="D145" s="10">
        <v>4.00771935E7</v>
      </c>
      <c r="E145" s="7">
        <f>SUMIFS('Лист2'!C:C, 'Лист2'!A:A, A145, 'Лист2'!B:B, B145)</f>
        <v>125</v>
      </c>
      <c r="F145" s="7">
        <f>SUMIFS('Лист2'!D:D, 'Лист2'!A:A, A145, 'Лист2'!B:B, B145)</f>
        <v>20602</v>
      </c>
      <c r="G145" s="7">
        <f>SUMIFS('Лист2'!E:E, 'Лист2'!A:A, A145, 'Лист2'!B:B, B145)</f>
        <v>18845</v>
      </c>
      <c r="H145" s="8">
        <f t="shared" si="1"/>
        <v>320617.548</v>
      </c>
      <c r="I145" s="8">
        <f t="shared" si="2"/>
        <v>18</v>
      </c>
    </row>
    <row r="146" ht="14.25" customHeight="1">
      <c r="A146" s="5">
        <v>43963.0</v>
      </c>
      <c r="B146" s="6" t="s">
        <v>15</v>
      </c>
      <c r="C146" s="6">
        <v>373392.0</v>
      </c>
      <c r="D146" s="6">
        <v>3.9578577E7</v>
      </c>
      <c r="E146" s="7">
        <f>SUMIFS('Лист2'!C:C, 'Лист2'!A:A, A146, 'Лист2'!B:B, B146)</f>
        <v>125</v>
      </c>
      <c r="F146" s="7">
        <f>SUMIFS('Лист2'!D:D, 'Лист2'!A:A, A146, 'Лист2'!B:B, B146)</f>
        <v>21106</v>
      </c>
      <c r="G146" s="7">
        <f>SUMIFS('Лист2'!E:E, 'Лист2'!A:A, A146, 'Лист2'!B:B, B146)</f>
        <v>19651</v>
      </c>
      <c r="H146" s="8">
        <f t="shared" si="1"/>
        <v>316628.616</v>
      </c>
      <c r="I146" s="8">
        <f t="shared" si="2"/>
        <v>20</v>
      </c>
    </row>
    <row r="147" ht="14.25" customHeight="1">
      <c r="A147" s="9">
        <v>43972.0</v>
      </c>
      <c r="B147" s="10" t="s">
        <v>15</v>
      </c>
      <c r="C147" s="10">
        <v>378043.5</v>
      </c>
      <c r="D147" s="10">
        <v>3.790215657E7</v>
      </c>
      <c r="E147" s="7">
        <f>SUMIFS('Лист2'!C:C, 'Лист2'!A:A, A147, 'Лист2'!B:B, B147)</f>
        <v>125</v>
      </c>
      <c r="F147" s="7">
        <f>SUMIFS('Лист2'!D:D, 'Лист2'!A:A, A147, 'Лист2'!B:B, B147)</f>
        <v>20911</v>
      </c>
      <c r="G147" s="7">
        <f>SUMIFS('Лист2'!E:E, 'Лист2'!A:A, A147, 'Лист2'!B:B, B147)</f>
        <v>19358</v>
      </c>
      <c r="H147" s="8">
        <f t="shared" si="1"/>
        <v>303217.2526</v>
      </c>
      <c r="I147" s="8">
        <f t="shared" si="2"/>
        <v>21</v>
      </c>
    </row>
    <row r="148" ht="14.25" customHeight="1">
      <c r="A148" s="5">
        <v>43971.0</v>
      </c>
      <c r="B148" s="6" t="s">
        <v>15</v>
      </c>
      <c r="C148" s="6">
        <v>388668.0</v>
      </c>
      <c r="D148" s="6">
        <v>3.9639309E7</v>
      </c>
      <c r="E148" s="7">
        <f>SUMIFS('Лист2'!C:C, 'Лист2'!A:A, A148, 'Лист2'!B:B, B148)</f>
        <v>125</v>
      </c>
      <c r="F148" s="7">
        <f>SUMIFS('Лист2'!D:D, 'Лист2'!A:A, A148, 'Лист2'!B:B, B148)</f>
        <v>21674</v>
      </c>
      <c r="G148" s="7">
        <f>SUMIFS('Лист2'!E:E, 'Лист2'!A:A, A148, 'Лист2'!B:B, B148)</f>
        <v>20155</v>
      </c>
      <c r="H148" s="8">
        <f t="shared" si="1"/>
        <v>317114.472</v>
      </c>
      <c r="I148" s="8">
        <f t="shared" si="2"/>
        <v>21</v>
      </c>
    </row>
    <row r="149" ht="14.25" customHeight="1">
      <c r="A149" s="9">
        <v>43956.0</v>
      </c>
      <c r="B149" s="10" t="s">
        <v>15</v>
      </c>
      <c r="C149" s="10">
        <v>333792.0</v>
      </c>
      <c r="D149" s="10">
        <v>3.5671734E7</v>
      </c>
      <c r="E149" s="7">
        <f>SUMIFS('Лист2'!C:C, 'Лист2'!A:A, A149, 'Лист2'!B:B, B149)</f>
        <v>125</v>
      </c>
      <c r="F149" s="7">
        <f>SUMIFS('Лист2'!D:D, 'Лист2'!A:A, A149, 'Лист2'!B:B, B149)</f>
        <v>18944</v>
      </c>
      <c r="G149" s="7">
        <f>SUMIFS('Лист2'!E:E, 'Лист2'!A:A, A149, 'Лист2'!B:B, B149)</f>
        <v>17541</v>
      </c>
      <c r="H149" s="8">
        <f t="shared" si="1"/>
        <v>285373.872</v>
      </c>
      <c r="I149" s="8">
        <f t="shared" si="2"/>
        <v>19</v>
      </c>
    </row>
    <row r="150" ht="14.25" customHeight="1">
      <c r="A150" s="5">
        <v>43949.0</v>
      </c>
      <c r="B150" s="6" t="s">
        <v>15</v>
      </c>
      <c r="C150" s="6">
        <v>376060.5</v>
      </c>
      <c r="D150" s="6">
        <v>3.99180285E7</v>
      </c>
      <c r="E150" s="7">
        <f>SUMIFS('Лист2'!C:C, 'Лист2'!A:A, A150, 'Лист2'!B:B, B150)</f>
        <v>125</v>
      </c>
      <c r="F150" s="7">
        <f>SUMIFS('Лист2'!D:D, 'Лист2'!A:A, A150, 'Лист2'!B:B, B150)</f>
        <v>20914</v>
      </c>
      <c r="G150" s="7">
        <f>SUMIFS('Лист2'!E:E, 'Лист2'!A:A, A150, 'Лист2'!B:B, B150)</f>
        <v>19479</v>
      </c>
      <c r="H150" s="8">
        <f t="shared" si="1"/>
        <v>319344.228</v>
      </c>
      <c r="I150" s="8">
        <f t="shared" si="2"/>
        <v>18</v>
      </c>
    </row>
    <row r="151" ht="14.25" customHeight="1">
      <c r="A151" s="9">
        <v>43964.0</v>
      </c>
      <c r="B151" s="10" t="s">
        <v>15</v>
      </c>
      <c r="C151" s="10">
        <v>350068.5</v>
      </c>
      <c r="D151" s="10">
        <v>3.71971155E7</v>
      </c>
      <c r="E151" s="7">
        <f>SUMIFS('Лист2'!C:C, 'Лист2'!A:A, A151, 'Лист2'!B:B, B151)</f>
        <v>125</v>
      </c>
      <c r="F151" s="7">
        <f>SUMIFS('Лист2'!D:D, 'Лист2'!A:A, A151, 'Лист2'!B:B, B151)</f>
        <v>19965</v>
      </c>
      <c r="G151" s="7">
        <f>SUMIFS('Лист2'!E:E, 'Лист2'!A:A, A151, 'Лист2'!B:B, B151)</f>
        <v>18573</v>
      </c>
      <c r="H151" s="8">
        <f t="shared" si="1"/>
        <v>297576.924</v>
      </c>
      <c r="I151" s="8">
        <f t="shared" si="2"/>
        <v>20</v>
      </c>
    </row>
    <row r="152" ht="14.25" customHeight="1">
      <c r="A152" s="5">
        <v>43982.0</v>
      </c>
      <c r="B152" s="6" t="s">
        <v>14</v>
      </c>
      <c r="C152" s="6">
        <v>294337.5</v>
      </c>
      <c r="D152" s="6">
        <v>2.9327766E7</v>
      </c>
      <c r="E152" s="7">
        <f>SUMIFS('Лист2'!C:C, 'Лист2'!A:A, A152, 'Лист2'!B:B, B152)</f>
        <v>129</v>
      </c>
      <c r="F152" s="7">
        <f>SUMIFS('Лист2'!D:D, 'Лист2'!A:A, A152, 'Лист2'!B:B, B152)</f>
        <v>17235</v>
      </c>
      <c r="G152" s="7">
        <f>SUMIFS('Лист2'!E:E, 'Лист2'!A:A, A152, 'Лист2'!B:B, B152)</f>
        <v>16052</v>
      </c>
      <c r="H152" s="8">
        <f t="shared" si="1"/>
        <v>227347.0233</v>
      </c>
      <c r="I152" s="8">
        <f t="shared" si="2"/>
        <v>22</v>
      </c>
    </row>
    <row r="153" ht="14.25" customHeight="1">
      <c r="A153" s="9">
        <v>43954.0</v>
      </c>
      <c r="B153" s="10" t="s">
        <v>15</v>
      </c>
      <c r="C153" s="10">
        <v>342666.0</v>
      </c>
      <c r="D153" s="10">
        <v>3.66319995E7</v>
      </c>
      <c r="E153" s="7">
        <f>SUMIFS('Лист2'!C:C, 'Лист2'!A:A, A153, 'Лист2'!B:B, B153)</f>
        <v>125</v>
      </c>
      <c r="F153" s="7">
        <f>SUMIFS('Лист2'!D:D, 'Лист2'!A:A, A153, 'Лист2'!B:B, B153)</f>
        <v>18861</v>
      </c>
      <c r="G153" s="7">
        <f>SUMIFS('Лист2'!E:E, 'Лист2'!A:A, A153, 'Лист2'!B:B, B153)</f>
        <v>17420</v>
      </c>
      <c r="H153" s="8">
        <f t="shared" si="1"/>
        <v>293055.996</v>
      </c>
      <c r="I153" s="8">
        <f t="shared" si="2"/>
        <v>18</v>
      </c>
    </row>
    <row r="154" ht="14.25" customHeight="1">
      <c r="A154" s="5">
        <v>43981.0</v>
      </c>
      <c r="B154" s="6" t="s">
        <v>14</v>
      </c>
      <c r="C154" s="6">
        <v>364882.5</v>
      </c>
      <c r="D154" s="6">
        <v>3.57244935E7</v>
      </c>
      <c r="E154" s="7">
        <f>SUMIFS('Лист2'!C:C, 'Лист2'!A:A, A154, 'Лист2'!B:B, B154)</f>
        <v>129</v>
      </c>
      <c r="F154" s="7">
        <f>SUMIFS('Лист2'!D:D, 'Лист2'!A:A, A154, 'Лист2'!B:B, B154)</f>
        <v>20243</v>
      </c>
      <c r="G154" s="7">
        <f>SUMIFS('Лист2'!E:E, 'Лист2'!A:A, A154, 'Лист2'!B:B, B154)</f>
        <v>18711</v>
      </c>
      <c r="H154" s="8">
        <f t="shared" si="1"/>
        <v>276934.0581</v>
      </c>
      <c r="I154" s="8">
        <f t="shared" si="2"/>
        <v>22</v>
      </c>
    </row>
    <row r="155" ht="14.25" customHeight="1">
      <c r="A155" s="9">
        <v>43957.0</v>
      </c>
      <c r="B155" s="10" t="s">
        <v>15</v>
      </c>
      <c r="C155" s="10">
        <v>355278.0</v>
      </c>
      <c r="D155" s="10">
        <v>3.8092344E7</v>
      </c>
      <c r="E155" s="7">
        <f>SUMIFS('Лист2'!C:C, 'Лист2'!A:A, A155, 'Лист2'!B:B, B155)</f>
        <v>125</v>
      </c>
      <c r="F155" s="7">
        <f>SUMIFS('Лист2'!D:D, 'Лист2'!A:A, A155, 'Лист2'!B:B, B155)</f>
        <v>20218</v>
      </c>
      <c r="G155" s="7">
        <f>SUMIFS('Лист2'!E:E, 'Лист2'!A:A, A155, 'Лист2'!B:B, B155)</f>
        <v>18647</v>
      </c>
      <c r="H155" s="8">
        <f t="shared" si="1"/>
        <v>304738.752</v>
      </c>
      <c r="I155" s="8">
        <f t="shared" si="2"/>
        <v>19</v>
      </c>
    </row>
    <row r="156" ht="14.25" customHeight="1">
      <c r="A156" s="5">
        <v>43974.0</v>
      </c>
      <c r="B156" s="6" t="s">
        <v>15</v>
      </c>
      <c r="C156" s="6">
        <v>456885.0</v>
      </c>
      <c r="D156" s="6">
        <v>4.640808E7</v>
      </c>
      <c r="E156" s="7">
        <f>SUMIFS('Лист2'!C:C, 'Лист2'!A:A, A156, 'Лист2'!B:B, B156)</f>
        <v>125</v>
      </c>
      <c r="F156" s="7">
        <f>SUMIFS('Лист2'!D:D, 'Лист2'!A:A, A156, 'Лист2'!B:B, B156)</f>
        <v>24574</v>
      </c>
      <c r="G156" s="7">
        <f>SUMIFS('Лист2'!E:E, 'Лист2'!A:A, A156, 'Лист2'!B:B, B156)</f>
        <v>22609</v>
      </c>
      <c r="H156" s="8">
        <f t="shared" si="1"/>
        <v>371264.64</v>
      </c>
      <c r="I156" s="8">
        <f t="shared" si="2"/>
        <v>21</v>
      </c>
    </row>
    <row r="157" ht="14.25" customHeight="1">
      <c r="A157" s="9">
        <v>43979.0</v>
      </c>
      <c r="B157" s="10" t="s">
        <v>14</v>
      </c>
      <c r="C157" s="10">
        <v>278491.5</v>
      </c>
      <c r="D157" s="10">
        <v>2.815100475E7</v>
      </c>
      <c r="E157" s="7">
        <f>SUMIFS('Лист2'!C:C, 'Лист2'!A:A, A157, 'Лист2'!B:B, B157)</f>
        <v>129</v>
      </c>
      <c r="F157" s="7">
        <f>SUMIFS('Лист2'!D:D, 'Лист2'!A:A, A157, 'Лист2'!B:B, B157)</f>
        <v>16453</v>
      </c>
      <c r="G157" s="7">
        <f>SUMIFS('Лист2'!E:E, 'Лист2'!A:A, A157, 'Лист2'!B:B, B157)</f>
        <v>15289</v>
      </c>
      <c r="H157" s="8">
        <f t="shared" si="1"/>
        <v>218224.843</v>
      </c>
      <c r="I157" s="8">
        <f t="shared" si="2"/>
        <v>22</v>
      </c>
    </row>
    <row r="158" ht="14.25" customHeight="1">
      <c r="A158" s="5">
        <v>43976.0</v>
      </c>
      <c r="B158" s="6" t="s">
        <v>15</v>
      </c>
      <c r="C158" s="6">
        <v>349734.0</v>
      </c>
      <c r="D158" s="6">
        <v>3.6883428E7</v>
      </c>
      <c r="E158" s="7">
        <f>SUMIFS('Лист2'!C:C, 'Лист2'!A:A, A158, 'Лист2'!B:B, B158)</f>
        <v>124</v>
      </c>
      <c r="F158" s="7">
        <f>SUMIFS('Лист2'!D:D, 'Лист2'!A:A, A158, 'Лист2'!B:B, B158)</f>
        <v>20358</v>
      </c>
      <c r="G158" s="7">
        <f>SUMIFS('Лист2'!E:E, 'Лист2'!A:A, A158, 'Лист2'!B:B, B158)</f>
        <v>18890</v>
      </c>
      <c r="H158" s="8">
        <f t="shared" si="1"/>
        <v>297447</v>
      </c>
      <c r="I158" s="8">
        <f t="shared" si="2"/>
        <v>22</v>
      </c>
    </row>
    <row r="159" ht="14.25" customHeight="1">
      <c r="A159" s="9">
        <v>43951.0</v>
      </c>
      <c r="B159" s="10" t="s">
        <v>15</v>
      </c>
      <c r="C159" s="10">
        <v>401580.0</v>
      </c>
      <c r="D159" s="10">
        <v>4.30287345E7</v>
      </c>
      <c r="E159" s="7">
        <f>SUMIFS('Лист2'!C:C, 'Лист2'!A:A, A159, 'Лист2'!B:B, B159)</f>
        <v>125</v>
      </c>
      <c r="F159" s="7">
        <f>SUMIFS('Лист2'!D:D, 'Лист2'!A:A, A159, 'Лист2'!B:B, B159)</f>
        <v>22368</v>
      </c>
      <c r="G159" s="7">
        <f>SUMIFS('Лист2'!E:E, 'Лист2'!A:A, A159, 'Лист2'!B:B, B159)</f>
        <v>20625</v>
      </c>
      <c r="H159" s="8">
        <f t="shared" si="1"/>
        <v>344229.876</v>
      </c>
      <c r="I159" s="8">
        <f t="shared" si="2"/>
        <v>18</v>
      </c>
    </row>
    <row r="160" ht="14.25" customHeight="1">
      <c r="A160" s="5">
        <v>43961.0</v>
      </c>
      <c r="B160" s="6" t="s">
        <v>15</v>
      </c>
      <c r="C160" s="6">
        <v>368649.0</v>
      </c>
      <c r="D160" s="6">
        <v>3.9010875E7</v>
      </c>
      <c r="E160" s="7">
        <f>SUMIFS('Лист2'!C:C, 'Лист2'!A:A, A160, 'Лист2'!B:B, B160)</f>
        <v>125</v>
      </c>
      <c r="F160" s="7">
        <f>SUMIFS('Лист2'!D:D, 'Лист2'!A:A, A160, 'Лист2'!B:B, B160)</f>
        <v>20368</v>
      </c>
      <c r="G160" s="7">
        <f>SUMIFS('Лист2'!E:E, 'Лист2'!A:A, A160, 'Лист2'!B:B, B160)</f>
        <v>18884</v>
      </c>
      <c r="H160" s="8">
        <f t="shared" si="1"/>
        <v>312087</v>
      </c>
      <c r="I160" s="8">
        <f t="shared" si="2"/>
        <v>19</v>
      </c>
    </row>
    <row r="161" ht="14.25" customHeight="1">
      <c r="A161" s="9">
        <v>43959.0</v>
      </c>
      <c r="B161" s="10" t="s">
        <v>15</v>
      </c>
      <c r="C161" s="10">
        <v>463530.0</v>
      </c>
      <c r="D161" s="10">
        <v>4.91231805E7</v>
      </c>
      <c r="E161" s="7">
        <f>SUMIFS('Лист2'!C:C, 'Лист2'!A:A, A161, 'Лист2'!B:B, B161)</f>
        <v>125</v>
      </c>
      <c r="F161" s="7">
        <f>SUMIFS('Лист2'!D:D, 'Лист2'!A:A, A161, 'Лист2'!B:B, B161)</f>
        <v>24620</v>
      </c>
      <c r="G161" s="7">
        <f>SUMIFS('Лист2'!E:E, 'Лист2'!A:A, A161, 'Лист2'!B:B, B161)</f>
        <v>22641</v>
      </c>
      <c r="H161" s="8">
        <f t="shared" si="1"/>
        <v>392985.444</v>
      </c>
      <c r="I161" s="8">
        <f t="shared" si="2"/>
        <v>19</v>
      </c>
    </row>
    <row r="162" ht="14.25" customHeight="1">
      <c r="A162" s="5">
        <v>43958.0</v>
      </c>
      <c r="B162" s="6" t="s">
        <v>15</v>
      </c>
      <c r="C162" s="6">
        <v>319110.0</v>
      </c>
      <c r="D162" s="6">
        <v>3.3763989E7</v>
      </c>
      <c r="E162" s="7">
        <f>SUMIFS('Лист2'!C:C, 'Лист2'!A:A, A162, 'Лист2'!B:B, B162)</f>
        <v>125</v>
      </c>
      <c r="F162" s="7">
        <f>SUMIFS('Лист2'!D:D, 'Лист2'!A:A, A162, 'Лист2'!B:B, B162)</f>
        <v>18014</v>
      </c>
      <c r="G162" s="7">
        <f>SUMIFS('Лист2'!E:E, 'Лист2'!A:A, A162, 'Лист2'!B:B, B162)</f>
        <v>16675</v>
      </c>
      <c r="H162" s="8">
        <f t="shared" si="1"/>
        <v>270111.912</v>
      </c>
      <c r="I162" s="8">
        <f t="shared" si="2"/>
        <v>19</v>
      </c>
    </row>
    <row r="163" ht="14.25" customHeight="1">
      <c r="A163" s="9">
        <v>43975.0</v>
      </c>
      <c r="B163" s="10" t="s">
        <v>15</v>
      </c>
      <c r="C163" s="10">
        <v>375744.0</v>
      </c>
      <c r="D163" s="10">
        <v>3.81913815E7</v>
      </c>
      <c r="E163" s="7">
        <f>SUMIFS('Лист2'!C:C, 'Лист2'!A:A, A163, 'Лист2'!B:B, B163)</f>
        <v>125</v>
      </c>
      <c r="F163" s="7">
        <f>SUMIFS('Лист2'!D:D, 'Лист2'!A:A, A163, 'Лист2'!B:B, B163)</f>
        <v>21004</v>
      </c>
      <c r="G163" s="7">
        <f>SUMIFS('Лист2'!E:E, 'Лист2'!A:A, A163, 'Лист2'!B:B, B163)</f>
        <v>19556</v>
      </c>
      <c r="H163" s="8">
        <f t="shared" si="1"/>
        <v>305531.052</v>
      </c>
      <c r="I163" s="8">
        <f t="shared" si="2"/>
        <v>21</v>
      </c>
    </row>
    <row r="164" ht="14.25" customHeight="1">
      <c r="A164" s="5">
        <v>43967.0</v>
      </c>
      <c r="B164" s="6" t="s">
        <v>16</v>
      </c>
      <c r="C164" s="6">
        <v>81331.5</v>
      </c>
      <c r="D164" s="6">
        <v>6652179.0</v>
      </c>
      <c r="E164" s="7">
        <f>SUMIFS('Лист2'!C:C, 'Лист2'!A:A, A164, 'Лист2'!B:B, B164)</f>
        <v>36</v>
      </c>
      <c r="F164" s="7">
        <f>SUMIFS('Лист2'!D:D, 'Лист2'!A:A, A164, 'Лист2'!B:B, B164)</f>
        <v>5286</v>
      </c>
      <c r="G164" s="7">
        <f>SUMIFS('Лист2'!E:E, 'Лист2'!A:A, A164, 'Лист2'!B:B, B164)</f>
        <v>4867</v>
      </c>
      <c r="H164" s="8">
        <f t="shared" si="1"/>
        <v>184782.75</v>
      </c>
      <c r="I164" s="8">
        <f t="shared" si="2"/>
        <v>20</v>
      </c>
    </row>
    <row r="165" ht="14.25" customHeight="1">
      <c r="A165" s="9">
        <v>43970.0</v>
      </c>
      <c r="B165" s="10" t="s">
        <v>16</v>
      </c>
      <c r="C165" s="10">
        <v>75796.5</v>
      </c>
      <c r="D165" s="10">
        <v>6173463.0</v>
      </c>
      <c r="E165" s="7">
        <f>SUMIFS('Лист2'!C:C, 'Лист2'!A:A, A165, 'Лист2'!B:B, B165)</f>
        <v>36</v>
      </c>
      <c r="F165" s="7">
        <f>SUMIFS('Лист2'!D:D, 'Лист2'!A:A, A165, 'Лист2'!B:B, B165)</f>
        <v>5094</v>
      </c>
      <c r="G165" s="7">
        <f>SUMIFS('Лист2'!E:E, 'Лист2'!A:A, A165, 'Лист2'!B:B, B165)</f>
        <v>4716</v>
      </c>
      <c r="H165" s="8">
        <f t="shared" si="1"/>
        <v>171485.0833</v>
      </c>
      <c r="I165" s="8">
        <f t="shared" si="2"/>
        <v>21</v>
      </c>
    </row>
    <row r="166" ht="14.25" customHeight="1">
      <c r="A166" s="5">
        <v>43968.0</v>
      </c>
      <c r="B166" s="6" t="s">
        <v>16</v>
      </c>
      <c r="C166" s="6">
        <v>72861.0</v>
      </c>
      <c r="D166" s="6">
        <v>5952802.5</v>
      </c>
      <c r="E166" s="7">
        <f>SUMIFS('Лист2'!C:C, 'Лист2'!A:A, A166, 'Лист2'!B:B, B166)</f>
        <v>36</v>
      </c>
      <c r="F166" s="7">
        <f>SUMIFS('Лист2'!D:D, 'Лист2'!A:A, A166, 'Лист2'!B:B, B166)</f>
        <v>4918</v>
      </c>
      <c r="G166" s="7">
        <f>SUMIFS('Лист2'!E:E, 'Лист2'!A:A, A166, 'Лист2'!B:B, B166)</f>
        <v>4554</v>
      </c>
      <c r="H166" s="8">
        <f t="shared" si="1"/>
        <v>165355.625</v>
      </c>
      <c r="I166" s="8">
        <f t="shared" si="2"/>
        <v>20</v>
      </c>
    </row>
    <row r="167" ht="14.25" customHeight="1">
      <c r="A167" s="9">
        <v>43960.0</v>
      </c>
      <c r="B167" s="10" t="s">
        <v>16</v>
      </c>
      <c r="C167" s="10">
        <v>83373.0</v>
      </c>
      <c r="D167" s="10">
        <v>7253427.0</v>
      </c>
      <c r="E167" s="7">
        <f>SUMIFS('Лист2'!C:C, 'Лист2'!A:A, A167, 'Лист2'!B:B, B167)</f>
        <v>36</v>
      </c>
      <c r="F167" s="7">
        <f>SUMIFS('Лист2'!D:D, 'Лист2'!A:A, A167, 'Лист2'!B:B, B167)</f>
        <v>5413</v>
      </c>
      <c r="G167" s="7">
        <f>SUMIFS('Лист2'!E:E, 'Лист2'!A:A, A167, 'Лист2'!B:B, B167)</f>
        <v>4959</v>
      </c>
      <c r="H167" s="8">
        <f t="shared" si="1"/>
        <v>201484.0833</v>
      </c>
      <c r="I167" s="8">
        <f t="shared" si="2"/>
        <v>19</v>
      </c>
    </row>
    <row r="168" ht="14.25" customHeight="1">
      <c r="A168" s="5">
        <v>43955.0</v>
      </c>
      <c r="B168" s="6" t="s">
        <v>16</v>
      </c>
      <c r="C168" s="6">
        <v>64108.5</v>
      </c>
      <c r="D168" s="6">
        <v>5561452.5</v>
      </c>
      <c r="E168" s="7">
        <f>SUMIFS('Лист2'!C:C, 'Лист2'!A:A, A168, 'Лист2'!B:B, B168)</f>
        <v>36</v>
      </c>
      <c r="F168" s="7">
        <f>SUMIFS('Лист2'!D:D, 'Лист2'!A:A, A168, 'Лист2'!B:B, B168)</f>
        <v>4508</v>
      </c>
      <c r="G168" s="7">
        <f>SUMIFS('Лист2'!E:E, 'Лист2'!A:A, A168, 'Лист2'!B:B, B168)</f>
        <v>4149</v>
      </c>
      <c r="H168" s="8">
        <f t="shared" si="1"/>
        <v>154484.7917</v>
      </c>
      <c r="I168" s="8">
        <f t="shared" si="2"/>
        <v>19</v>
      </c>
    </row>
    <row r="169" ht="14.25" customHeight="1">
      <c r="A169" s="9">
        <v>43950.0</v>
      </c>
      <c r="B169" s="10" t="s">
        <v>16</v>
      </c>
      <c r="C169" s="10">
        <v>74707.5</v>
      </c>
      <c r="D169" s="10">
        <v>6454458.0</v>
      </c>
      <c r="E169" s="7">
        <f>SUMIFS('Лист2'!C:C, 'Лист2'!A:A, A169, 'Лист2'!B:B, B169)</f>
        <v>36</v>
      </c>
      <c r="F169" s="7">
        <f>SUMIFS('Лист2'!D:D, 'Лист2'!A:A, A169, 'Лист2'!B:B, B169)</f>
        <v>4937</v>
      </c>
      <c r="G169" s="7">
        <f>SUMIFS('Лист2'!E:E, 'Лист2'!A:A, A169, 'Лист2'!B:B, B169)</f>
        <v>4561</v>
      </c>
      <c r="H169" s="8">
        <f t="shared" si="1"/>
        <v>179290.5</v>
      </c>
      <c r="I169" s="8">
        <f t="shared" si="2"/>
        <v>18</v>
      </c>
    </row>
    <row r="170" ht="14.25" customHeight="1">
      <c r="A170" s="5">
        <v>43953.0</v>
      </c>
      <c r="B170" s="6" t="s">
        <v>16</v>
      </c>
      <c r="C170" s="6">
        <v>46216.5</v>
      </c>
      <c r="D170" s="6">
        <v>4118251.5</v>
      </c>
      <c r="E170" s="7">
        <f>SUMIFS('Лист2'!C:C, 'Лист2'!A:A, A170, 'Лист2'!B:B, B170)</f>
        <v>36</v>
      </c>
      <c r="F170" s="7">
        <f>SUMIFS('Лист2'!D:D, 'Лист2'!A:A, A170, 'Лист2'!B:B, B170)</f>
        <v>3442</v>
      </c>
      <c r="G170" s="7">
        <f>SUMIFS('Лист2'!E:E, 'Лист2'!A:A, A170, 'Лист2'!B:B, B170)</f>
        <v>3147</v>
      </c>
      <c r="H170" s="8">
        <f t="shared" si="1"/>
        <v>114395.875</v>
      </c>
      <c r="I170" s="8">
        <f t="shared" si="2"/>
        <v>18</v>
      </c>
    </row>
    <row r="171" ht="14.25" customHeight="1">
      <c r="A171" s="9">
        <v>43977.0</v>
      </c>
      <c r="B171" s="10" t="s">
        <v>16</v>
      </c>
      <c r="C171" s="10">
        <v>67726.5</v>
      </c>
      <c r="D171" s="10">
        <v>5864989.5</v>
      </c>
      <c r="E171" s="7">
        <f>SUMIFS('Лист2'!C:C, 'Лист2'!A:A, A171, 'Лист2'!B:B, B171)</f>
        <v>36</v>
      </c>
      <c r="F171" s="7">
        <f>SUMIFS('Лист2'!D:D, 'Лист2'!A:A, A171, 'Лист2'!B:B, B171)</f>
        <v>4770</v>
      </c>
      <c r="G171" s="7">
        <f>SUMIFS('Лист2'!E:E, 'Лист2'!A:A, A171, 'Лист2'!B:B, B171)</f>
        <v>4424</v>
      </c>
      <c r="H171" s="8">
        <f t="shared" si="1"/>
        <v>162916.375</v>
      </c>
      <c r="I171" s="8">
        <f t="shared" si="2"/>
        <v>22</v>
      </c>
    </row>
    <row r="172" ht="14.25" customHeight="1">
      <c r="A172" s="5">
        <v>43952.0</v>
      </c>
      <c r="B172" s="6" t="s">
        <v>16</v>
      </c>
      <c r="C172" s="6">
        <v>82228.5</v>
      </c>
      <c r="D172" s="6">
        <v>7032225.0</v>
      </c>
      <c r="E172" s="7">
        <f>SUMIFS('Лист2'!C:C, 'Лист2'!A:A, A172, 'Лист2'!B:B, B172)</f>
        <v>36</v>
      </c>
      <c r="F172" s="7">
        <f>SUMIFS('Лист2'!D:D, 'Лист2'!A:A, A172, 'Лист2'!B:B, B172)</f>
        <v>5457</v>
      </c>
      <c r="G172" s="7">
        <f>SUMIFS('Лист2'!E:E, 'Лист2'!A:A, A172, 'Лист2'!B:B, B172)</f>
        <v>4916</v>
      </c>
      <c r="H172" s="8">
        <f t="shared" si="1"/>
        <v>195339.5833</v>
      </c>
      <c r="I172" s="8">
        <f t="shared" si="2"/>
        <v>18</v>
      </c>
    </row>
    <row r="173" ht="14.25" customHeight="1">
      <c r="A173" s="9">
        <v>43963.0</v>
      </c>
      <c r="B173" s="10" t="s">
        <v>16</v>
      </c>
      <c r="C173" s="10">
        <v>64390.5</v>
      </c>
      <c r="D173" s="10">
        <v>5523145.5</v>
      </c>
      <c r="E173" s="7">
        <f>SUMIFS('Лист2'!C:C, 'Лист2'!A:A, A173, 'Лист2'!B:B, B173)</f>
        <v>36</v>
      </c>
      <c r="F173" s="7">
        <f>SUMIFS('Лист2'!D:D, 'Лист2'!A:A, A173, 'Лист2'!B:B, B173)</f>
        <v>4418</v>
      </c>
      <c r="G173" s="7">
        <f>SUMIFS('Лист2'!E:E, 'Лист2'!A:A, A173, 'Лист2'!B:B, B173)</f>
        <v>4088</v>
      </c>
      <c r="H173" s="8">
        <f t="shared" si="1"/>
        <v>153420.7083</v>
      </c>
      <c r="I173" s="8">
        <f t="shared" si="2"/>
        <v>20</v>
      </c>
    </row>
    <row r="174" ht="14.25" customHeight="1">
      <c r="A174" s="5">
        <v>43972.0</v>
      </c>
      <c r="B174" s="6" t="s">
        <v>16</v>
      </c>
      <c r="C174" s="6">
        <v>73126.5</v>
      </c>
      <c r="D174" s="6">
        <v>5864085.0</v>
      </c>
      <c r="E174" s="7">
        <f>SUMIFS('Лист2'!C:C, 'Лист2'!A:A, A174, 'Лист2'!B:B, B174)</f>
        <v>36</v>
      </c>
      <c r="F174" s="7">
        <f>SUMIFS('Лист2'!D:D, 'Лист2'!A:A, A174, 'Лист2'!B:B, B174)</f>
        <v>4816</v>
      </c>
      <c r="G174" s="7">
        <f>SUMIFS('Лист2'!E:E, 'Лист2'!A:A, A174, 'Лист2'!B:B, B174)</f>
        <v>4452</v>
      </c>
      <c r="H174" s="8">
        <f t="shared" si="1"/>
        <v>162891.25</v>
      </c>
      <c r="I174" s="8">
        <f t="shared" si="2"/>
        <v>21</v>
      </c>
    </row>
    <row r="175" ht="14.25" customHeight="1">
      <c r="A175" s="9">
        <v>43971.0</v>
      </c>
      <c r="B175" s="10" t="s">
        <v>16</v>
      </c>
      <c r="C175" s="10">
        <v>99631.5</v>
      </c>
      <c r="D175" s="10">
        <v>7121946.0</v>
      </c>
      <c r="E175" s="7">
        <f>SUMIFS('Лист2'!C:C, 'Лист2'!A:A, A175, 'Лист2'!B:B, B175)</f>
        <v>36</v>
      </c>
      <c r="F175" s="7">
        <f>SUMIFS('Лист2'!D:D, 'Лист2'!A:A, A175, 'Лист2'!B:B, B175)</f>
        <v>5914</v>
      </c>
      <c r="G175" s="7">
        <f>SUMIFS('Лист2'!E:E, 'Лист2'!A:A, A175, 'Лист2'!B:B, B175)</f>
        <v>5384</v>
      </c>
      <c r="H175" s="8">
        <f t="shared" si="1"/>
        <v>197831.8333</v>
      </c>
      <c r="I175" s="8">
        <f t="shared" si="2"/>
        <v>21</v>
      </c>
    </row>
    <row r="176" ht="14.25" customHeight="1">
      <c r="A176" s="5">
        <v>43956.0</v>
      </c>
      <c r="B176" s="6" t="s">
        <v>16</v>
      </c>
      <c r="C176" s="6">
        <v>66396.0</v>
      </c>
      <c r="D176" s="6">
        <v>5770539.0</v>
      </c>
      <c r="E176" s="7">
        <f>SUMIFS('Лист2'!C:C, 'Лист2'!A:A, A176, 'Лист2'!B:B, B176)</f>
        <v>36</v>
      </c>
      <c r="F176" s="7">
        <f>SUMIFS('Лист2'!D:D, 'Лист2'!A:A, A176, 'Лист2'!B:B, B176)</f>
        <v>4575</v>
      </c>
      <c r="G176" s="7">
        <f>SUMIFS('Лист2'!E:E, 'Лист2'!A:A, A176, 'Лист2'!B:B, B176)</f>
        <v>4206</v>
      </c>
      <c r="H176" s="8">
        <f t="shared" si="1"/>
        <v>160292.75</v>
      </c>
      <c r="I176" s="8">
        <f t="shared" si="2"/>
        <v>19</v>
      </c>
    </row>
    <row r="177" ht="14.25" customHeight="1">
      <c r="A177" s="9">
        <v>43949.0</v>
      </c>
      <c r="B177" s="10" t="s">
        <v>16</v>
      </c>
      <c r="C177" s="10">
        <v>73147.5</v>
      </c>
      <c r="D177" s="10">
        <v>6288246.0</v>
      </c>
      <c r="E177" s="7">
        <f>SUMIFS('Лист2'!C:C, 'Лист2'!A:A, A177, 'Лист2'!B:B, B177)</f>
        <v>36</v>
      </c>
      <c r="F177" s="7">
        <f>SUMIFS('Лист2'!D:D, 'Лист2'!A:A, A177, 'Лист2'!B:B, B177)</f>
        <v>4923</v>
      </c>
      <c r="G177" s="7">
        <f>SUMIFS('Лист2'!E:E, 'Лист2'!A:A, A177, 'Лист2'!B:B, B177)</f>
        <v>4560</v>
      </c>
      <c r="H177" s="8">
        <f t="shared" si="1"/>
        <v>174673.5</v>
      </c>
      <c r="I177" s="8">
        <f t="shared" si="2"/>
        <v>18</v>
      </c>
    </row>
    <row r="178" ht="14.25" customHeight="1">
      <c r="A178" s="5">
        <v>43964.0</v>
      </c>
      <c r="B178" s="6" t="s">
        <v>16</v>
      </c>
      <c r="C178" s="6">
        <v>73062.0</v>
      </c>
      <c r="D178" s="6">
        <v>6333828.0</v>
      </c>
      <c r="E178" s="7">
        <f>SUMIFS('Лист2'!C:C, 'Лист2'!A:A, A178, 'Лист2'!B:B, B178)</f>
        <v>36</v>
      </c>
      <c r="F178" s="7">
        <f>SUMIFS('Лист2'!D:D, 'Лист2'!A:A, A178, 'Лист2'!B:B, B178)</f>
        <v>4967</v>
      </c>
      <c r="G178" s="7">
        <f>SUMIFS('Лист2'!E:E, 'Лист2'!A:A, A178, 'Лист2'!B:B, B178)</f>
        <v>4583</v>
      </c>
      <c r="H178" s="8">
        <f t="shared" si="1"/>
        <v>175939.6667</v>
      </c>
      <c r="I178" s="8">
        <f t="shared" si="2"/>
        <v>20</v>
      </c>
    </row>
    <row r="179" ht="14.25" customHeight="1">
      <c r="A179" s="9">
        <v>43982.0</v>
      </c>
      <c r="B179" s="10" t="s">
        <v>15</v>
      </c>
      <c r="C179" s="10">
        <v>379663.5</v>
      </c>
      <c r="D179" s="10">
        <v>3.9380178E7</v>
      </c>
      <c r="E179" s="7">
        <f>SUMIFS('Лист2'!C:C, 'Лист2'!A:A, A179, 'Лист2'!B:B, B179)</f>
        <v>124</v>
      </c>
      <c r="F179" s="7">
        <f>SUMIFS('Лист2'!D:D, 'Лист2'!A:A, A179, 'Лист2'!B:B, B179)</f>
        <v>21392</v>
      </c>
      <c r="G179" s="7">
        <f>SUMIFS('Лист2'!E:E, 'Лист2'!A:A, A179, 'Лист2'!B:B, B179)</f>
        <v>19869</v>
      </c>
      <c r="H179" s="8">
        <f t="shared" si="1"/>
        <v>317582.0806</v>
      </c>
      <c r="I179" s="8">
        <f t="shared" si="2"/>
        <v>22</v>
      </c>
    </row>
    <row r="180" ht="14.25" customHeight="1">
      <c r="A180" s="5">
        <v>43954.0</v>
      </c>
      <c r="B180" s="6" t="s">
        <v>16</v>
      </c>
      <c r="C180" s="6">
        <v>70581.0</v>
      </c>
      <c r="D180" s="6">
        <v>6221320.5</v>
      </c>
      <c r="E180" s="7">
        <f>SUMIFS('Лист2'!C:C, 'Лист2'!A:A, A180, 'Лист2'!B:B, B180)</f>
        <v>36</v>
      </c>
      <c r="F180" s="7">
        <f>SUMIFS('Лист2'!D:D, 'Лист2'!A:A, A180, 'Лист2'!B:B, B180)</f>
        <v>4751</v>
      </c>
      <c r="G180" s="7">
        <f>SUMIFS('Лист2'!E:E, 'Лист2'!A:A, A180, 'Лист2'!B:B, B180)</f>
        <v>4370</v>
      </c>
      <c r="H180" s="8">
        <f t="shared" si="1"/>
        <v>172814.4583</v>
      </c>
      <c r="I180" s="8">
        <f t="shared" si="2"/>
        <v>18</v>
      </c>
    </row>
    <row r="181" ht="14.25" customHeight="1">
      <c r="A181" s="9">
        <v>43981.0</v>
      </c>
      <c r="B181" s="10" t="s">
        <v>15</v>
      </c>
      <c r="C181" s="10">
        <v>453123.0</v>
      </c>
      <c r="D181" s="10">
        <v>4.6370904E7</v>
      </c>
      <c r="E181" s="7">
        <f>SUMIFS('Лист2'!C:C, 'Лист2'!A:A, A181, 'Лист2'!B:B, B181)</f>
        <v>124</v>
      </c>
      <c r="F181" s="7">
        <f>SUMIFS('Лист2'!D:D, 'Лист2'!A:A, A181, 'Лист2'!B:B, B181)</f>
        <v>24325</v>
      </c>
      <c r="G181" s="7">
        <f>SUMIFS('Лист2'!E:E, 'Лист2'!A:A, A181, 'Лист2'!B:B, B181)</f>
        <v>22469</v>
      </c>
      <c r="H181" s="8">
        <f t="shared" si="1"/>
        <v>373958.9032</v>
      </c>
      <c r="I181" s="8">
        <f t="shared" si="2"/>
        <v>22</v>
      </c>
    </row>
    <row r="182" ht="14.25" customHeight="1">
      <c r="A182" s="5">
        <v>43957.0</v>
      </c>
      <c r="B182" s="6" t="s">
        <v>16</v>
      </c>
      <c r="C182" s="6">
        <v>63012.0</v>
      </c>
      <c r="D182" s="6">
        <v>5454121.5</v>
      </c>
      <c r="E182" s="7">
        <f>SUMIFS('Лист2'!C:C, 'Лист2'!A:A, A182, 'Лист2'!B:B, B182)</f>
        <v>36</v>
      </c>
      <c r="F182" s="7">
        <f>SUMIFS('Лист2'!D:D, 'Лист2'!A:A, A182, 'Лист2'!B:B, B182)</f>
        <v>4384</v>
      </c>
      <c r="G182" s="7">
        <f>SUMIFS('Лист2'!E:E, 'Лист2'!A:A, A182, 'Лист2'!B:B, B182)</f>
        <v>4025</v>
      </c>
      <c r="H182" s="8">
        <f t="shared" si="1"/>
        <v>151503.375</v>
      </c>
      <c r="I182" s="8">
        <f t="shared" si="2"/>
        <v>19</v>
      </c>
    </row>
    <row r="183" ht="14.25" customHeight="1">
      <c r="A183" s="9">
        <v>43974.0</v>
      </c>
      <c r="B183" s="10" t="s">
        <v>16</v>
      </c>
      <c r="C183" s="10">
        <v>89556.0</v>
      </c>
      <c r="D183" s="10">
        <v>7173117.0</v>
      </c>
      <c r="E183" s="7">
        <f>SUMIFS('Лист2'!C:C, 'Лист2'!A:A, A183, 'Лист2'!B:B, B183)</f>
        <v>36</v>
      </c>
      <c r="F183" s="7">
        <f>SUMIFS('Лист2'!D:D, 'Лист2'!A:A, A183, 'Лист2'!B:B, B183)</f>
        <v>5651</v>
      </c>
      <c r="G183" s="7">
        <f>SUMIFS('Лист2'!E:E, 'Лист2'!A:A, A183, 'Лист2'!B:B, B183)</f>
        <v>5212</v>
      </c>
      <c r="H183" s="8">
        <f t="shared" si="1"/>
        <v>199253.25</v>
      </c>
      <c r="I183" s="8">
        <f t="shared" si="2"/>
        <v>21</v>
      </c>
    </row>
    <row r="184" ht="14.25" customHeight="1">
      <c r="A184" s="5">
        <v>43979.0</v>
      </c>
      <c r="B184" s="6" t="s">
        <v>15</v>
      </c>
      <c r="C184" s="6">
        <v>364638.0</v>
      </c>
      <c r="D184" s="6">
        <v>3.79476885E7</v>
      </c>
      <c r="E184" s="7">
        <f>SUMIFS('Лист2'!C:C, 'Лист2'!A:A, A184, 'Лист2'!B:B, B184)</f>
        <v>124</v>
      </c>
      <c r="F184" s="7">
        <f>SUMIFS('Лист2'!D:D, 'Лист2'!A:A, A184, 'Лист2'!B:B, B184)</f>
        <v>20868</v>
      </c>
      <c r="G184" s="7">
        <f>SUMIFS('Лист2'!E:E, 'Лист2'!A:A, A184, 'Лист2'!B:B, B184)</f>
        <v>19342</v>
      </c>
      <c r="H184" s="8">
        <f t="shared" si="1"/>
        <v>306029.746</v>
      </c>
      <c r="I184" s="8">
        <f t="shared" si="2"/>
        <v>22</v>
      </c>
    </row>
    <row r="185" ht="14.25" customHeight="1">
      <c r="A185" s="9">
        <v>43976.0</v>
      </c>
      <c r="B185" s="10" t="s">
        <v>16</v>
      </c>
      <c r="C185" s="10">
        <v>66316.5</v>
      </c>
      <c r="D185" s="10">
        <v>5704650.0</v>
      </c>
      <c r="E185" s="7">
        <f>SUMIFS('Лист2'!C:C, 'Лист2'!A:A, A185, 'Лист2'!B:B, B185)</f>
        <v>36</v>
      </c>
      <c r="F185" s="7">
        <f>SUMIFS('Лист2'!D:D, 'Лист2'!A:A, A185, 'Лист2'!B:B, B185)</f>
        <v>4641</v>
      </c>
      <c r="G185" s="7">
        <f>SUMIFS('Лист2'!E:E, 'Лист2'!A:A, A185, 'Лист2'!B:B, B185)</f>
        <v>4274</v>
      </c>
      <c r="H185" s="8">
        <f t="shared" si="1"/>
        <v>158462.5</v>
      </c>
      <c r="I185" s="8">
        <f t="shared" si="2"/>
        <v>22</v>
      </c>
    </row>
    <row r="186" ht="14.25" customHeight="1">
      <c r="A186" s="5">
        <v>43951.0</v>
      </c>
      <c r="B186" s="6" t="s">
        <v>16</v>
      </c>
      <c r="C186" s="6">
        <v>78235.5</v>
      </c>
      <c r="D186" s="6">
        <v>6819594.0</v>
      </c>
      <c r="E186" s="7">
        <f>SUMIFS('Лист2'!C:C, 'Лист2'!A:A, A186, 'Лист2'!B:B, B186)</f>
        <v>36</v>
      </c>
      <c r="F186" s="7">
        <f>SUMIFS('Лист2'!D:D, 'Лист2'!A:A, A186, 'Лист2'!B:B, B186)</f>
        <v>5143</v>
      </c>
      <c r="G186" s="7">
        <f>SUMIFS('Лист2'!E:E, 'Лист2'!A:A, A186, 'Лист2'!B:B, B186)</f>
        <v>4715</v>
      </c>
      <c r="H186" s="8">
        <f t="shared" si="1"/>
        <v>189433.1667</v>
      </c>
      <c r="I186" s="8">
        <f t="shared" si="2"/>
        <v>18</v>
      </c>
    </row>
    <row r="187" ht="14.25" customHeight="1">
      <c r="A187" s="9">
        <v>43961.0</v>
      </c>
      <c r="B187" s="10" t="s">
        <v>16</v>
      </c>
      <c r="C187" s="10">
        <v>88311.0</v>
      </c>
      <c r="D187" s="10">
        <v>7726069.5</v>
      </c>
      <c r="E187" s="7">
        <f>SUMIFS('Лист2'!C:C, 'Лист2'!A:A, A187, 'Лист2'!B:B, B187)</f>
        <v>36</v>
      </c>
      <c r="F187" s="7">
        <f>SUMIFS('Лист2'!D:D, 'Лист2'!A:A, A187, 'Лист2'!B:B, B187)</f>
        <v>5746</v>
      </c>
      <c r="G187" s="7">
        <f>SUMIFS('Лист2'!E:E, 'Лист2'!A:A, A187, 'Лист2'!B:B, B187)</f>
        <v>5277</v>
      </c>
      <c r="H187" s="8">
        <f t="shared" si="1"/>
        <v>214613.0417</v>
      </c>
      <c r="I187" s="8">
        <f t="shared" si="2"/>
        <v>19</v>
      </c>
    </row>
    <row r="188" ht="14.25" customHeight="1">
      <c r="A188" s="5">
        <v>43959.0</v>
      </c>
      <c r="B188" s="6" t="s">
        <v>16</v>
      </c>
      <c r="C188" s="6">
        <v>61804.5</v>
      </c>
      <c r="D188" s="6">
        <v>5365708.5</v>
      </c>
      <c r="E188" s="7">
        <f>SUMIFS('Лист2'!C:C, 'Лист2'!A:A, A188, 'Лист2'!B:B, B188)</f>
        <v>36</v>
      </c>
      <c r="F188" s="7">
        <f>SUMIFS('Лист2'!D:D, 'Лист2'!A:A, A188, 'Лист2'!B:B, B188)</f>
        <v>4199</v>
      </c>
      <c r="G188" s="7">
        <f>SUMIFS('Лист2'!E:E, 'Лист2'!A:A, A188, 'Лист2'!B:B, B188)</f>
        <v>3867</v>
      </c>
      <c r="H188" s="8">
        <f t="shared" si="1"/>
        <v>149047.4583</v>
      </c>
      <c r="I188" s="8">
        <f t="shared" si="2"/>
        <v>19</v>
      </c>
    </row>
    <row r="189" ht="14.25" customHeight="1">
      <c r="A189" s="9">
        <v>43958.0</v>
      </c>
      <c r="B189" s="10" t="s">
        <v>16</v>
      </c>
      <c r="C189" s="10">
        <v>71067.0</v>
      </c>
      <c r="D189" s="10">
        <v>6175837.5</v>
      </c>
      <c r="E189" s="7">
        <f>SUMIFS('Лист2'!C:C, 'Лист2'!A:A, A189, 'Лист2'!B:B, B189)</f>
        <v>36</v>
      </c>
      <c r="F189" s="7">
        <f>SUMIFS('Лист2'!D:D, 'Лист2'!A:A, A189, 'Лист2'!B:B, B189)</f>
        <v>4826</v>
      </c>
      <c r="G189" s="7">
        <f>SUMIFS('Лист2'!E:E, 'Лист2'!A:A, A189, 'Лист2'!B:B, B189)</f>
        <v>4426</v>
      </c>
      <c r="H189" s="8">
        <f t="shared" si="1"/>
        <v>171551.0417</v>
      </c>
      <c r="I189" s="8">
        <f t="shared" si="2"/>
        <v>19</v>
      </c>
    </row>
    <row r="190" ht="14.25" customHeight="1">
      <c r="A190" s="5">
        <v>43975.0</v>
      </c>
      <c r="B190" s="6" t="s">
        <v>16</v>
      </c>
      <c r="C190" s="6">
        <v>74649.0</v>
      </c>
      <c r="D190" s="6">
        <v>6098236.5</v>
      </c>
      <c r="E190" s="7">
        <f>SUMIFS('Лист2'!C:C, 'Лист2'!A:A, A190, 'Лист2'!B:B, B190)</f>
        <v>36</v>
      </c>
      <c r="F190" s="7">
        <f>SUMIFS('Лист2'!D:D, 'Лист2'!A:A, A190, 'Лист2'!B:B, B190)</f>
        <v>4915</v>
      </c>
      <c r="G190" s="7">
        <f>SUMIFS('Лист2'!E:E, 'Лист2'!A:A, A190, 'Лист2'!B:B, B190)</f>
        <v>4562</v>
      </c>
      <c r="H190" s="8">
        <f t="shared" si="1"/>
        <v>169395.4583</v>
      </c>
      <c r="I190" s="8">
        <f t="shared" si="2"/>
        <v>21</v>
      </c>
    </row>
    <row r="191" ht="14.25" customHeight="1">
      <c r="A191" s="9">
        <v>43967.0</v>
      </c>
      <c r="B191" s="10" t="s">
        <v>17</v>
      </c>
      <c r="C191" s="10">
        <v>44560.5</v>
      </c>
      <c r="D191" s="10">
        <v>4025148.0</v>
      </c>
      <c r="E191" s="7">
        <f>SUMIFS('Лист2'!C:C, 'Лист2'!A:A, A191, 'Лист2'!B:B, B191)</f>
        <v>21</v>
      </c>
      <c r="F191" s="7">
        <f>SUMIFS('Лист2'!D:D, 'Лист2'!A:A, A191, 'Лист2'!B:B, B191)</f>
        <v>2427</v>
      </c>
      <c r="G191" s="7">
        <f>SUMIFS('Лист2'!E:E, 'Лист2'!A:A, A191, 'Лист2'!B:B, B191)</f>
        <v>2213</v>
      </c>
      <c r="H191" s="8">
        <f t="shared" si="1"/>
        <v>191673.7143</v>
      </c>
      <c r="I191" s="8">
        <f t="shared" si="2"/>
        <v>20</v>
      </c>
    </row>
    <row r="192" ht="14.25" customHeight="1">
      <c r="A192" s="5">
        <v>43970.0</v>
      </c>
      <c r="B192" s="6" t="s">
        <v>17</v>
      </c>
      <c r="C192" s="6">
        <v>38250.0</v>
      </c>
      <c r="D192" s="6">
        <v>3552937.5</v>
      </c>
      <c r="E192" s="7">
        <f>SUMIFS('Лист2'!C:C, 'Лист2'!A:A, A192, 'Лист2'!B:B, B192)</f>
        <v>21</v>
      </c>
      <c r="F192" s="7">
        <f>SUMIFS('Лист2'!D:D, 'Лист2'!A:A, A192, 'Лист2'!B:B, B192)</f>
        <v>2245</v>
      </c>
      <c r="G192" s="7">
        <f>SUMIFS('Лист2'!E:E, 'Лист2'!A:A, A192, 'Лист2'!B:B, B192)</f>
        <v>2053</v>
      </c>
      <c r="H192" s="8">
        <f t="shared" si="1"/>
        <v>169187.5</v>
      </c>
      <c r="I192" s="8">
        <f t="shared" si="2"/>
        <v>21</v>
      </c>
    </row>
    <row r="193" ht="14.25" customHeight="1">
      <c r="A193" s="9">
        <v>43968.0</v>
      </c>
      <c r="B193" s="10" t="s">
        <v>17</v>
      </c>
      <c r="C193" s="10">
        <v>34830.0</v>
      </c>
      <c r="D193" s="10">
        <v>3191155.5</v>
      </c>
      <c r="E193" s="7">
        <f>SUMIFS('Лист2'!C:C, 'Лист2'!A:A, A193, 'Лист2'!B:B, B193)</f>
        <v>21</v>
      </c>
      <c r="F193" s="7">
        <f>SUMIFS('Лист2'!D:D, 'Лист2'!A:A, A193, 'Лист2'!B:B, B193)</f>
        <v>2054</v>
      </c>
      <c r="G193" s="7">
        <f>SUMIFS('Лист2'!E:E, 'Лист2'!A:A, A193, 'Лист2'!B:B, B193)</f>
        <v>1883</v>
      </c>
      <c r="H193" s="8">
        <f t="shared" si="1"/>
        <v>151959.7857</v>
      </c>
      <c r="I193" s="8">
        <f t="shared" si="2"/>
        <v>20</v>
      </c>
    </row>
    <row r="194" ht="14.25" customHeight="1">
      <c r="A194" s="5">
        <v>43960.0</v>
      </c>
      <c r="B194" s="6" t="s">
        <v>17</v>
      </c>
      <c r="C194" s="6">
        <v>32239.5</v>
      </c>
      <c r="D194" s="6">
        <v>3084892.5</v>
      </c>
      <c r="E194" s="7">
        <f>SUMIFS('Лист2'!C:C, 'Лист2'!A:A, A194, 'Лист2'!B:B, B194)</f>
        <v>21</v>
      </c>
      <c r="F194" s="7">
        <f>SUMIFS('Лист2'!D:D, 'Лист2'!A:A, A194, 'Лист2'!B:B, B194)</f>
        <v>1891</v>
      </c>
      <c r="G194" s="7">
        <f>SUMIFS('Лист2'!E:E, 'Лист2'!A:A, A194, 'Лист2'!B:B, B194)</f>
        <v>1709</v>
      </c>
      <c r="H194" s="8">
        <f t="shared" si="1"/>
        <v>146899.6429</v>
      </c>
      <c r="I194" s="8">
        <f t="shared" si="2"/>
        <v>19</v>
      </c>
    </row>
    <row r="195" ht="14.25" customHeight="1">
      <c r="A195" s="9">
        <v>43955.0</v>
      </c>
      <c r="B195" s="10" t="s">
        <v>17</v>
      </c>
      <c r="C195" s="10">
        <v>30780.0</v>
      </c>
      <c r="D195" s="10">
        <v>2817853.5</v>
      </c>
      <c r="E195" s="7">
        <f>SUMIFS('Лист2'!C:C, 'Лист2'!A:A, A195, 'Лист2'!B:B, B195)</f>
        <v>20</v>
      </c>
      <c r="F195" s="7">
        <f>SUMIFS('Лист2'!D:D, 'Лист2'!A:A, A195, 'Лист2'!B:B, B195)</f>
        <v>1804</v>
      </c>
      <c r="G195" s="7">
        <f>SUMIFS('Лист2'!E:E, 'Лист2'!A:A, A195, 'Лист2'!B:B, B195)</f>
        <v>1638</v>
      </c>
      <c r="H195" s="8">
        <f t="shared" si="1"/>
        <v>140892.675</v>
      </c>
      <c r="I195" s="8">
        <f t="shared" si="2"/>
        <v>19</v>
      </c>
    </row>
    <row r="196" ht="14.25" customHeight="1">
      <c r="A196" s="5">
        <v>43950.0</v>
      </c>
      <c r="B196" s="6" t="s">
        <v>17</v>
      </c>
      <c r="C196" s="6">
        <v>29142.0</v>
      </c>
      <c r="D196" s="6">
        <v>2627595.0</v>
      </c>
      <c r="E196" s="7">
        <f>SUMIFS('Лист2'!C:C, 'Лист2'!A:A, A196, 'Лист2'!B:B, B196)</f>
        <v>19</v>
      </c>
      <c r="F196" s="7">
        <f>SUMIFS('Лист2'!D:D, 'Лист2'!A:A, A196, 'Лист2'!B:B, B196)</f>
        <v>1676</v>
      </c>
      <c r="G196" s="7">
        <f>SUMIFS('Лист2'!E:E, 'Лист2'!A:A, A196, 'Лист2'!B:B, B196)</f>
        <v>1516</v>
      </c>
      <c r="H196" s="8">
        <f t="shared" si="1"/>
        <v>138294.4737</v>
      </c>
      <c r="I196" s="8">
        <f t="shared" si="2"/>
        <v>18</v>
      </c>
    </row>
    <row r="197" ht="14.25" customHeight="1">
      <c r="A197" s="9">
        <v>43953.0</v>
      </c>
      <c r="B197" s="10" t="s">
        <v>17</v>
      </c>
      <c r="C197" s="10">
        <v>26428.5</v>
      </c>
      <c r="D197" s="10">
        <v>2470465.5</v>
      </c>
      <c r="E197" s="7">
        <f>SUMIFS('Лист2'!C:C, 'Лист2'!A:A, A197, 'Лист2'!B:B, B197)</f>
        <v>20</v>
      </c>
      <c r="F197" s="7">
        <f>SUMIFS('Лист2'!D:D, 'Лист2'!A:A, A197, 'Лист2'!B:B, B197)</f>
        <v>1613</v>
      </c>
      <c r="G197" s="7">
        <f>SUMIFS('Лист2'!E:E, 'Лист2'!A:A, A197, 'Лист2'!B:B, B197)</f>
        <v>1457</v>
      </c>
      <c r="H197" s="8">
        <f t="shared" si="1"/>
        <v>123523.275</v>
      </c>
      <c r="I197" s="8">
        <f t="shared" si="2"/>
        <v>18</v>
      </c>
    </row>
    <row r="198" ht="14.25" customHeight="1">
      <c r="A198" s="5">
        <v>43977.0</v>
      </c>
      <c r="B198" s="6" t="s">
        <v>17</v>
      </c>
      <c r="C198" s="6">
        <v>40744.5</v>
      </c>
      <c r="D198" s="6">
        <v>3700311.0</v>
      </c>
      <c r="E198" s="7">
        <f>SUMIFS('Лист2'!C:C, 'Лист2'!A:A, A198, 'Лист2'!B:B, B198)</f>
        <v>21</v>
      </c>
      <c r="F198" s="7">
        <f>SUMIFS('Лист2'!D:D, 'Лист2'!A:A, A198, 'Лист2'!B:B, B198)</f>
        <v>2418</v>
      </c>
      <c r="G198" s="7">
        <f>SUMIFS('Лист2'!E:E, 'Лист2'!A:A, A198, 'Лист2'!B:B, B198)</f>
        <v>2215</v>
      </c>
      <c r="H198" s="8">
        <f t="shared" si="1"/>
        <v>176205.2857</v>
      </c>
      <c r="I198" s="8">
        <f t="shared" si="2"/>
        <v>22</v>
      </c>
    </row>
    <row r="199" ht="14.25" customHeight="1">
      <c r="A199" s="9">
        <v>43952.0</v>
      </c>
      <c r="B199" s="10" t="s">
        <v>17</v>
      </c>
      <c r="C199" s="10">
        <v>46620.0</v>
      </c>
      <c r="D199" s="10">
        <v>4293241.5</v>
      </c>
      <c r="E199" s="7">
        <f>SUMIFS('Лист2'!C:C, 'Лист2'!A:A, A199, 'Лист2'!B:B, B199)</f>
        <v>20</v>
      </c>
      <c r="F199" s="7">
        <f>SUMIFS('Лист2'!D:D, 'Лист2'!A:A, A199, 'Лист2'!B:B, B199)</f>
        <v>2468</v>
      </c>
      <c r="G199" s="7">
        <f>SUMIFS('Лист2'!E:E, 'Лист2'!A:A, A199, 'Лист2'!B:B, B199)</f>
        <v>2221</v>
      </c>
      <c r="H199" s="8">
        <f t="shared" si="1"/>
        <v>214662.075</v>
      </c>
      <c r="I199" s="8">
        <f t="shared" si="2"/>
        <v>18</v>
      </c>
    </row>
    <row r="200" ht="14.25" customHeight="1">
      <c r="A200" s="5">
        <v>43963.0</v>
      </c>
      <c r="B200" s="6" t="s">
        <v>17</v>
      </c>
      <c r="C200" s="6">
        <v>32419.5</v>
      </c>
      <c r="D200" s="6">
        <v>3080614.5</v>
      </c>
      <c r="E200" s="7">
        <f>SUMIFS('Лист2'!C:C, 'Лист2'!A:A, A200, 'Лист2'!B:B, B200)</f>
        <v>21</v>
      </c>
      <c r="F200" s="7">
        <f>SUMIFS('Лист2'!D:D, 'Лист2'!A:A, A200, 'Лист2'!B:B, B200)</f>
        <v>1926</v>
      </c>
      <c r="G200" s="7">
        <f>SUMIFS('Лист2'!E:E, 'Лист2'!A:A, A200, 'Лист2'!B:B, B200)</f>
        <v>1745</v>
      </c>
      <c r="H200" s="8">
        <f t="shared" si="1"/>
        <v>146695.9286</v>
      </c>
      <c r="I200" s="8">
        <f t="shared" si="2"/>
        <v>20</v>
      </c>
    </row>
    <row r="201" ht="14.25" customHeight="1">
      <c r="A201" s="9">
        <v>43972.0</v>
      </c>
      <c r="B201" s="10" t="s">
        <v>17</v>
      </c>
      <c r="C201" s="10">
        <v>40819.5</v>
      </c>
      <c r="D201" s="10">
        <v>3810394.5</v>
      </c>
      <c r="E201" s="7">
        <f>SUMIFS('Лист2'!C:C, 'Лист2'!A:A, A201, 'Лист2'!B:B, B201)</f>
        <v>21</v>
      </c>
      <c r="F201" s="7">
        <f>SUMIFS('Лист2'!D:D, 'Лист2'!A:A, A201, 'Лист2'!B:B, B201)</f>
        <v>2335</v>
      </c>
      <c r="G201" s="7">
        <f>SUMIFS('Лист2'!E:E, 'Лист2'!A:A, A201, 'Лист2'!B:B, B201)</f>
        <v>2126</v>
      </c>
      <c r="H201" s="8">
        <f t="shared" si="1"/>
        <v>181447.3571</v>
      </c>
      <c r="I201" s="8">
        <f t="shared" si="2"/>
        <v>21</v>
      </c>
    </row>
    <row r="202" ht="14.25" customHeight="1">
      <c r="A202" s="5">
        <v>43971.0</v>
      </c>
      <c r="B202" s="6" t="s">
        <v>17</v>
      </c>
      <c r="C202" s="6">
        <v>41391.0</v>
      </c>
      <c r="D202" s="6">
        <v>3918987.0</v>
      </c>
      <c r="E202" s="7">
        <f>SUMIFS('Лист2'!C:C, 'Лист2'!A:A, A202, 'Лист2'!B:B, B202)</f>
        <v>21</v>
      </c>
      <c r="F202" s="7">
        <f>SUMIFS('Лист2'!D:D, 'Лист2'!A:A, A202, 'Лист2'!B:B, B202)</f>
        <v>2410</v>
      </c>
      <c r="G202" s="7">
        <f>SUMIFS('Лист2'!E:E, 'Лист2'!A:A, A202, 'Лист2'!B:B, B202)</f>
        <v>2202</v>
      </c>
      <c r="H202" s="8">
        <f t="shared" si="1"/>
        <v>186618.4286</v>
      </c>
      <c r="I202" s="8">
        <f t="shared" si="2"/>
        <v>21</v>
      </c>
    </row>
    <row r="203" ht="14.25" customHeight="1">
      <c r="A203" s="9">
        <v>43956.0</v>
      </c>
      <c r="B203" s="10" t="s">
        <v>17</v>
      </c>
      <c r="C203" s="10">
        <v>29482.5</v>
      </c>
      <c r="D203" s="10">
        <v>2648688.0</v>
      </c>
      <c r="E203" s="7">
        <f>SUMIFS('Лист2'!C:C, 'Лист2'!A:A, A203, 'Лист2'!B:B, B203)</f>
        <v>20</v>
      </c>
      <c r="F203" s="7">
        <f>SUMIFS('Лист2'!D:D, 'Лист2'!A:A, A203, 'Лист2'!B:B, B203)</f>
        <v>1757</v>
      </c>
      <c r="G203" s="7">
        <f>SUMIFS('Лист2'!E:E, 'Лист2'!A:A, A203, 'Лист2'!B:B, B203)</f>
        <v>1596</v>
      </c>
      <c r="H203" s="8">
        <f t="shared" si="1"/>
        <v>132434.4</v>
      </c>
      <c r="I203" s="8">
        <f t="shared" si="2"/>
        <v>19</v>
      </c>
    </row>
    <row r="204" ht="14.25" customHeight="1">
      <c r="A204" s="5">
        <v>43949.0</v>
      </c>
      <c r="B204" s="6" t="s">
        <v>17</v>
      </c>
      <c r="C204" s="6">
        <v>32181.0</v>
      </c>
      <c r="D204" s="6">
        <v>2863600.5</v>
      </c>
      <c r="E204" s="7">
        <f>SUMIFS('Лист2'!C:C, 'Лист2'!A:A, A204, 'Лист2'!B:B, B204)</f>
        <v>19</v>
      </c>
      <c r="F204" s="7">
        <f>SUMIFS('Лист2'!D:D, 'Лист2'!A:A, A204, 'Лист2'!B:B, B204)</f>
        <v>1846</v>
      </c>
      <c r="G204" s="7">
        <f>SUMIFS('Лист2'!E:E, 'Лист2'!A:A, A204, 'Лист2'!B:B, B204)</f>
        <v>1681</v>
      </c>
      <c r="H204" s="8">
        <f t="shared" si="1"/>
        <v>150715.8158</v>
      </c>
      <c r="I204" s="8">
        <f t="shared" si="2"/>
        <v>18</v>
      </c>
    </row>
    <row r="205" ht="14.25" customHeight="1">
      <c r="A205" s="9">
        <v>43964.0</v>
      </c>
      <c r="B205" s="10" t="s">
        <v>17</v>
      </c>
      <c r="C205" s="10">
        <v>35535.0</v>
      </c>
      <c r="D205" s="10">
        <v>3288069.0</v>
      </c>
      <c r="E205" s="7">
        <f>SUMIFS('Лист2'!C:C, 'Лист2'!A:A, A205, 'Лист2'!B:B, B205)</f>
        <v>21</v>
      </c>
      <c r="F205" s="7">
        <f>SUMIFS('Лист2'!D:D, 'Лист2'!A:A, A205, 'Лист2'!B:B, B205)</f>
        <v>2061</v>
      </c>
      <c r="G205" s="7">
        <f>SUMIFS('Лист2'!E:E, 'Лист2'!A:A, A205, 'Лист2'!B:B, B205)</f>
        <v>1876</v>
      </c>
      <c r="H205" s="8">
        <f t="shared" si="1"/>
        <v>156574.7143</v>
      </c>
      <c r="I205" s="8">
        <f t="shared" si="2"/>
        <v>20</v>
      </c>
    </row>
    <row r="206" ht="14.25" customHeight="1">
      <c r="A206" s="5">
        <v>43982.0</v>
      </c>
      <c r="B206" s="6" t="s">
        <v>16</v>
      </c>
      <c r="C206" s="6">
        <v>76234.5</v>
      </c>
      <c r="D206" s="6">
        <v>6500848.5</v>
      </c>
      <c r="E206" s="7">
        <f>SUMIFS('Лист2'!C:C, 'Лист2'!A:A, A206, 'Лист2'!B:B, B206)</f>
        <v>37</v>
      </c>
      <c r="F206" s="7">
        <f>SUMIFS('Лист2'!D:D, 'Лист2'!A:A, A206, 'Лист2'!B:B, B206)</f>
        <v>5215</v>
      </c>
      <c r="G206" s="7">
        <f>SUMIFS('Лист2'!E:E, 'Лист2'!A:A, A206, 'Лист2'!B:B, B206)</f>
        <v>4848</v>
      </c>
      <c r="H206" s="8">
        <f t="shared" si="1"/>
        <v>175698.6081</v>
      </c>
      <c r="I206" s="8">
        <f t="shared" si="2"/>
        <v>22</v>
      </c>
    </row>
    <row r="207" ht="14.25" customHeight="1">
      <c r="A207" s="9">
        <v>43954.0</v>
      </c>
      <c r="B207" s="10" t="s">
        <v>17</v>
      </c>
      <c r="C207" s="10">
        <v>29935.5</v>
      </c>
      <c r="D207" s="10">
        <v>2720002.5</v>
      </c>
      <c r="E207" s="7">
        <f>SUMIFS('Лист2'!C:C, 'Лист2'!A:A, A207, 'Лист2'!B:B, B207)</f>
        <v>20</v>
      </c>
      <c r="F207" s="7">
        <f>SUMIFS('Лист2'!D:D, 'Лист2'!A:A, A207, 'Лист2'!B:B, B207)</f>
        <v>1716</v>
      </c>
      <c r="G207" s="7">
        <f>SUMIFS('Лист2'!E:E, 'Лист2'!A:A, A207, 'Лист2'!B:B, B207)</f>
        <v>1561</v>
      </c>
      <c r="H207" s="8">
        <f t="shared" si="1"/>
        <v>136000.125</v>
      </c>
      <c r="I207" s="8">
        <f t="shared" si="2"/>
        <v>18</v>
      </c>
    </row>
    <row r="208" ht="14.25" customHeight="1">
      <c r="A208" s="5">
        <v>43981.0</v>
      </c>
      <c r="B208" s="6" t="s">
        <v>16</v>
      </c>
      <c r="C208" s="6">
        <v>106926.0</v>
      </c>
      <c r="D208" s="6">
        <v>9098386.5</v>
      </c>
      <c r="E208" s="7">
        <f>SUMIFS('Лист2'!C:C, 'Лист2'!A:A, A208, 'Лист2'!B:B, B208)</f>
        <v>37</v>
      </c>
      <c r="F208" s="7">
        <f>SUMIFS('Лист2'!D:D, 'Лист2'!A:A, A208, 'Лист2'!B:B, B208)</f>
        <v>6645</v>
      </c>
      <c r="G208" s="7">
        <f>SUMIFS('Лист2'!E:E, 'Лист2'!A:A, A208, 'Лист2'!B:B, B208)</f>
        <v>6122</v>
      </c>
      <c r="H208" s="8">
        <f t="shared" si="1"/>
        <v>245902.3378</v>
      </c>
      <c r="I208" s="8">
        <f t="shared" si="2"/>
        <v>22</v>
      </c>
    </row>
    <row r="209" ht="14.25" customHeight="1">
      <c r="A209" s="9">
        <v>43957.0</v>
      </c>
      <c r="B209" s="10" t="s">
        <v>17</v>
      </c>
      <c r="C209" s="10">
        <v>30342.0</v>
      </c>
      <c r="D209" s="10">
        <v>2738127.0</v>
      </c>
      <c r="E209" s="7">
        <f>SUMIFS('Лист2'!C:C, 'Лист2'!A:A, A209, 'Лист2'!B:B, B209)</f>
        <v>20</v>
      </c>
      <c r="F209" s="7">
        <f>SUMIFS('Лист2'!D:D, 'Лист2'!A:A, A209, 'Лист2'!B:B, B209)</f>
        <v>1747</v>
      </c>
      <c r="G209" s="7">
        <f>SUMIFS('Лист2'!E:E, 'Лист2'!A:A, A209, 'Лист2'!B:B, B209)</f>
        <v>1570</v>
      </c>
      <c r="H209" s="8">
        <f t="shared" si="1"/>
        <v>136906.35</v>
      </c>
      <c r="I209" s="8">
        <f t="shared" si="2"/>
        <v>19</v>
      </c>
    </row>
    <row r="210" ht="14.25" customHeight="1">
      <c r="A210" s="5">
        <v>43974.0</v>
      </c>
      <c r="B210" s="6" t="s">
        <v>17</v>
      </c>
      <c r="C210" s="6">
        <v>42999.0</v>
      </c>
      <c r="D210" s="6">
        <v>3883215.0</v>
      </c>
      <c r="E210" s="7">
        <f>SUMIFS('Лист2'!C:C, 'Лист2'!A:A, A210, 'Лист2'!B:B, B210)</f>
        <v>21</v>
      </c>
      <c r="F210" s="7">
        <f>SUMIFS('Лист2'!D:D, 'Лист2'!A:A, A210, 'Лист2'!B:B, B210)</f>
        <v>2460</v>
      </c>
      <c r="G210" s="7">
        <f>SUMIFS('Лист2'!E:E, 'Лист2'!A:A, A210, 'Лист2'!B:B, B210)</f>
        <v>2226</v>
      </c>
      <c r="H210" s="8">
        <f t="shared" si="1"/>
        <v>184915</v>
      </c>
      <c r="I210" s="8">
        <f t="shared" si="2"/>
        <v>21</v>
      </c>
    </row>
    <row r="211" ht="14.25" customHeight="1">
      <c r="A211" s="9">
        <v>43979.0</v>
      </c>
      <c r="B211" s="10" t="s">
        <v>16</v>
      </c>
      <c r="C211" s="10">
        <v>69945.0</v>
      </c>
      <c r="D211" s="10">
        <v>6101931.0</v>
      </c>
      <c r="E211" s="7">
        <f>SUMIFS('Лист2'!C:C, 'Лист2'!A:A, A211, 'Лист2'!B:B, B211)</f>
        <v>37</v>
      </c>
      <c r="F211" s="7">
        <f>SUMIFS('Лист2'!D:D, 'Лист2'!A:A, A211, 'Лист2'!B:B, B211)</f>
        <v>4840</v>
      </c>
      <c r="G211" s="7">
        <f>SUMIFS('Лист2'!E:E, 'Лист2'!A:A, A211, 'Лист2'!B:B, B211)</f>
        <v>4475</v>
      </c>
      <c r="H211" s="8">
        <f t="shared" si="1"/>
        <v>164917.0541</v>
      </c>
      <c r="I211" s="8">
        <f t="shared" si="2"/>
        <v>22</v>
      </c>
    </row>
    <row r="212" ht="14.25" customHeight="1">
      <c r="A212" s="5">
        <v>43976.0</v>
      </c>
      <c r="B212" s="6" t="s">
        <v>17</v>
      </c>
      <c r="C212" s="6">
        <v>38740.5</v>
      </c>
      <c r="D212" s="6">
        <v>3561655.5</v>
      </c>
      <c r="E212" s="7">
        <f>SUMIFS('Лист2'!C:C, 'Лист2'!A:A, A212, 'Лист2'!B:B, B212)</f>
        <v>21</v>
      </c>
      <c r="F212" s="7">
        <f>SUMIFS('Лист2'!D:D, 'Лист2'!A:A, A212, 'Лист2'!B:B, B212)</f>
        <v>2330</v>
      </c>
      <c r="G212" s="7">
        <f>SUMIFS('Лист2'!E:E, 'Лист2'!A:A, A212, 'Лист2'!B:B, B212)</f>
        <v>2142</v>
      </c>
      <c r="H212" s="8">
        <f t="shared" si="1"/>
        <v>169602.6429</v>
      </c>
      <c r="I212" s="8">
        <f t="shared" si="2"/>
        <v>22</v>
      </c>
    </row>
    <row r="213" ht="14.25" customHeight="1">
      <c r="A213" s="9">
        <v>43951.0</v>
      </c>
      <c r="B213" s="10" t="s">
        <v>17</v>
      </c>
      <c r="C213" s="10">
        <v>31231.5</v>
      </c>
      <c r="D213" s="10">
        <v>2853310.5</v>
      </c>
      <c r="E213" s="7">
        <f>SUMIFS('Лист2'!C:C, 'Лист2'!A:A, A213, 'Лист2'!B:B, B213)</f>
        <v>20</v>
      </c>
      <c r="F213" s="7">
        <f>SUMIFS('Лист2'!D:D, 'Лист2'!A:A, A213, 'Лист2'!B:B, B213)</f>
        <v>1756</v>
      </c>
      <c r="G213" s="7">
        <f>SUMIFS('Лист2'!E:E, 'Лист2'!A:A, A213, 'Лист2'!B:B, B213)</f>
        <v>1586</v>
      </c>
      <c r="H213" s="8">
        <f t="shared" si="1"/>
        <v>142665.525</v>
      </c>
      <c r="I213" s="8">
        <f t="shared" si="2"/>
        <v>18</v>
      </c>
    </row>
    <row r="214" ht="14.25" customHeight="1">
      <c r="A214" s="5">
        <v>43961.0</v>
      </c>
      <c r="B214" s="6" t="s">
        <v>17</v>
      </c>
      <c r="C214" s="6">
        <v>37489.5</v>
      </c>
      <c r="D214" s="6">
        <v>3549097.5</v>
      </c>
      <c r="E214" s="7">
        <f>SUMIFS('Лист2'!C:C, 'Лист2'!A:A, A214, 'Лист2'!B:B, B214)</f>
        <v>21</v>
      </c>
      <c r="F214" s="7">
        <f>SUMIFS('Лист2'!D:D, 'Лист2'!A:A, A214, 'Лист2'!B:B, B214)</f>
        <v>2120</v>
      </c>
      <c r="G214" s="7">
        <f>SUMIFS('Лист2'!E:E, 'Лист2'!A:A, A214, 'Лист2'!B:B, B214)</f>
        <v>1921</v>
      </c>
      <c r="H214" s="8">
        <f t="shared" si="1"/>
        <v>169004.6429</v>
      </c>
      <c r="I214" s="8">
        <f t="shared" si="2"/>
        <v>19</v>
      </c>
    </row>
    <row r="215" ht="14.25" customHeight="1">
      <c r="A215" s="9">
        <v>43959.0</v>
      </c>
      <c r="B215" s="10" t="s">
        <v>17</v>
      </c>
      <c r="C215" s="10">
        <v>34399.5</v>
      </c>
      <c r="D215" s="10">
        <v>3201358.5</v>
      </c>
      <c r="E215" s="7">
        <f>SUMIFS('Лист2'!C:C, 'Лист2'!A:A, A215, 'Лист2'!B:B, B215)</f>
        <v>21</v>
      </c>
      <c r="F215" s="7">
        <f>SUMIFS('Лист2'!D:D, 'Лист2'!A:A, A215, 'Лист2'!B:B, B215)</f>
        <v>1957</v>
      </c>
      <c r="G215" s="7">
        <f>SUMIFS('Лист2'!E:E, 'Лист2'!A:A, A215, 'Лист2'!B:B, B215)</f>
        <v>1755</v>
      </c>
      <c r="H215" s="8">
        <f t="shared" si="1"/>
        <v>152445.6429</v>
      </c>
      <c r="I215" s="8">
        <f t="shared" si="2"/>
        <v>19</v>
      </c>
    </row>
    <row r="216" ht="14.25" customHeight="1">
      <c r="A216" s="5">
        <v>43958.0</v>
      </c>
      <c r="B216" s="6" t="s">
        <v>17</v>
      </c>
      <c r="C216" s="6">
        <v>32851.5</v>
      </c>
      <c r="D216" s="6">
        <v>2934504.0</v>
      </c>
      <c r="E216" s="7">
        <f>SUMIFS('Лист2'!C:C, 'Лист2'!A:A, A216, 'Лист2'!B:B, B216)</f>
        <v>21</v>
      </c>
      <c r="F216" s="7">
        <f>SUMIFS('Лист2'!D:D, 'Лист2'!A:A, A216, 'Лист2'!B:B, B216)</f>
        <v>1879</v>
      </c>
      <c r="G216" s="7">
        <f>SUMIFS('Лист2'!E:E, 'Лист2'!A:A, A216, 'Лист2'!B:B, B216)</f>
        <v>1695</v>
      </c>
      <c r="H216" s="8">
        <f t="shared" si="1"/>
        <v>139738.2857</v>
      </c>
      <c r="I216" s="8">
        <f t="shared" si="2"/>
        <v>19</v>
      </c>
    </row>
    <row r="217" ht="14.25" customHeight="1">
      <c r="A217" s="9">
        <v>43975.0</v>
      </c>
      <c r="B217" s="10" t="s">
        <v>17</v>
      </c>
      <c r="C217" s="10">
        <v>38194.5</v>
      </c>
      <c r="D217" s="10">
        <v>3449302.5</v>
      </c>
      <c r="E217" s="7">
        <f>SUMIFS('Лист2'!C:C, 'Лист2'!A:A, A217, 'Лист2'!B:B, B217)</f>
        <v>21</v>
      </c>
      <c r="F217" s="7">
        <f>SUMIFS('Лист2'!D:D, 'Лист2'!A:A, A217, 'Лист2'!B:B, B217)</f>
        <v>2254</v>
      </c>
      <c r="G217" s="7">
        <f>SUMIFS('Лист2'!E:E, 'Лист2'!A:A, A217, 'Лист2'!B:B, B217)</f>
        <v>2061</v>
      </c>
      <c r="H217" s="8">
        <f t="shared" si="1"/>
        <v>164252.5</v>
      </c>
      <c r="I217" s="8">
        <f t="shared" si="2"/>
        <v>21</v>
      </c>
    </row>
    <row r="218" ht="14.25" customHeight="1">
      <c r="A218" s="5">
        <v>43982.0</v>
      </c>
      <c r="B218" s="6" t="s">
        <v>17</v>
      </c>
      <c r="C218" s="6">
        <v>42423.0</v>
      </c>
      <c r="D218" s="6">
        <v>3994153.5</v>
      </c>
      <c r="E218" s="7">
        <f>SUMIFS('Лист2'!C:C, 'Лист2'!A:A, A218, 'Лист2'!B:B, B218)</f>
        <v>23</v>
      </c>
      <c r="F218" s="7">
        <f>SUMIFS('Лист2'!D:D, 'Лист2'!A:A, A218, 'Лист2'!B:B, B218)</f>
        <v>2522</v>
      </c>
      <c r="G218" s="7">
        <f>SUMIFS('Лист2'!E:E, 'Лист2'!A:A, A218, 'Лист2'!B:B, B218)</f>
        <v>2295</v>
      </c>
      <c r="H218" s="8">
        <f t="shared" si="1"/>
        <v>173658.8478</v>
      </c>
      <c r="I218" s="8">
        <f t="shared" si="2"/>
        <v>22</v>
      </c>
    </row>
    <row r="219" ht="14.25" customHeight="1">
      <c r="A219" s="9">
        <v>43981.0</v>
      </c>
      <c r="B219" s="10" t="s">
        <v>17</v>
      </c>
      <c r="C219" s="10">
        <v>48286.5</v>
      </c>
      <c r="D219" s="10">
        <v>4456441.5</v>
      </c>
      <c r="E219" s="7">
        <f>SUMIFS('Лист2'!C:C, 'Лист2'!A:A, A219, 'Лист2'!B:B, B219)</f>
        <v>22</v>
      </c>
      <c r="F219" s="7">
        <f>SUMIFS('Лист2'!D:D, 'Лист2'!A:A, A219, 'Лист2'!B:B, B219)</f>
        <v>2793</v>
      </c>
      <c r="G219" s="7">
        <f>SUMIFS('Лист2'!E:E, 'Лист2'!A:A, A219, 'Лист2'!B:B, B219)</f>
        <v>2539</v>
      </c>
      <c r="H219" s="8">
        <f t="shared" si="1"/>
        <v>202565.5227</v>
      </c>
      <c r="I219" s="8">
        <f t="shared" si="2"/>
        <v>22</v>
      </c>
    </row>
    <row r="220" ht="14.25" customHeight="1">
      <c r="A220" s="5">
        <v>43979.0</v>
      </c>
      <c r="B220" s="6" t="s">
        <v>17</v>
      </c>
      <c r="C220" s="6">
        <v>41442.0</v>
      </c>
      <c r="D220" s="6">
        <v>3893680.5</v>
      </c>
      <c r="E220" s="7">
        <f>SUMIFS('Лист2'!C:C, 'Лист2'!A:A, A220, 'Лист2'!B:B, B220)</f>
        <v>22</v>
      </c>
      <c r="F220" s="7">
        <f>SUMIFS('Лист2'!D:D, 'Лист2'!A:A, A220, 'Лист2'!B:B, B220)</f>
        <v>2454</v>
      </c>
      <c r="G220" s="7">
        <f>SUMIFS('Лист2'!E:E, 'Лист2'!A:A, A220, 'Лист2'!B:B, B220)</f>
        <v>2239</v>
      </c>
      <c r="H220" s="8">
        <f t="shared" si="1"/>
        <v>176985.4773</v>
      </c>
      <c r="I220" s="8">
        <f t="shared" si="2"/>
        <v>22</v>
      </c>
    </row>
    <row r="221" ht="14.25" customHeight="1">
      <c r="A221" s="9">
        <v>43967.0</v>
      </c>
      <c r="B221" s="10" t="s">
        <v>18</v>
      </c>
      <c r="C221" s="10">
        <v>18600.0</v>
      </c>
      <c r="D221" s="10">
        <v>1601425.5</v>
      </c>
      <c r="E221" s="7">
        <f>SUMIFS('Лист2'!C:C, 'Лист2'!A:A, A221, 'Лист2'!B:B, B221)</f>
        <v>15</v>
      </c>
      <c r="F221" s="7">
        <f>SUMIFS('Лист2'!D:D, 'Лист2'!A:A, A221, 'Лист2'!B:B, B221)</f>
        <v>1111</v>
      </c>
      <c r="G221" s="7">
        <f>SUMIFS('Лист2'!E:E, 'Лист2'!A:A, A221, 'Лист2'!B:B, B221)</f>
        <v>992</v>
      </c>
      <c r="H221" s="8">
        <f t="shared" si="1"/>
        <v>106761.7</v>
      </c>
      <c r="I221" s="8">
        <f t="shared" si="2"/>
        <v>20</v>
      </c>
    </row>
    <row r="222" ht="14.25" customHeight="1">
      <c r="A222" s="5">
        <v>43970.0</v>
      </c>
      <c r="B222" s="6" t="s">
        <v>18</v>
      </c>
      <c r="C222" s="6">
        <v>16638.0</v>
      </c>
      <c r="D222" s="6">
        <v>1364847.0</v>
      </c>
      <c r="E222" s="7">
        <f>SUMIFS('Лист2'!C:C, 'Лист2'!A:A, A222, 'Лист2'!B:B, B222)</f>
        <v>16</v>
      </c>
      <c r="F222" s="7">
        <f>SUMIFS('Лист2'!D:D, 'Лист2'!A:A, A222, 'Лист2'!B:B, B222)</f>
        <v>1012</v>
      </c>
      <c r="G222" s="7">
        <f>SUMIFS('Лист2'!E:E, 'Лист2'!A:A, A222, 'Лист2'!B:B, B222)</f>
        <v>900</v>
      </c>
      <c r="H222" s="8">
        <f t="shared" si="1"/>
        <v>85302.9375</v>
      </c>
      <c r="I222" s="8">
        <f t="shared" si="2"/>
        <v>21</v>
      </c>
    </row>
    <row r="223" ht="14.25" customHeight="1">
      <c r="A223" s="9">
        <v>43968.0</v>
      </c>
      <c r="B223" s="10" t="s">
        <v>18</v>
      </c>
      <c r="C223" s="10">
        <v>15609.0</v>
      </c>
      <c r="D223" s="10">
        <v>1377577.5</v>
      </c>
      <c r="E223" s="7">
        <f>SUMIFS('Лист2'!C:C, 'Лист2'!A:A, A223, 'Лист2'!B:B, B223)</f>
        <v>15</v>
      </c>
      <c r="F223" s="7">
        <f>SUMIFS('Лист2'!D:D, 'Лист2'!A:A, A223, 'Лист2'!B:B, B223)</f>
        <v>971</v>
      </c>
      <c r="G223" s="7">
        <f>SUMIFS('Лист2'!E:E, 'Лист2'!A:A, A223, 'Лист2'!B:B, B223)</f>
        <v>856</v>
      </c>
      <c r="H223" s="8">
        <f t="shared" si="1"/>
        <v>91838.5</v>
      </c>
      <c r="I223" s="8">
        <f t="shared" si="2"/>
        <v>20</v>
      </c>
    </row>
    <row r="224" ht="14.25" customHeight="1">
      <c r="A224" s="5">
        <v>43960.0</v>
      </c>
      <c r="B224" s="6" t="s">
        <v>18</v>
      </c>
      <c r="C224" s="6">
        <v>13948.5</v>
      </c>
      <c r="D224" s="6">
        <v>1222932.0</v>
      </c>
      <c r="E224" s="7">
        <f>SUMIFS('Лист2'!C:C, 'Лист2'!A:A, A224, 'Лист2'!B:B, B224)</f>
        <v>15</v>
      </c>
      <c r="F224" s="7">
        <f>SUMIFS('Лист2'!D:D, 'Лист2'!A:A, A224, 'Лист2'!B:B, B224)</f>
        <v>849</v>
      </c>
      <c r="G224" s="7">
        <f>SUMIFS('Лист2'!E:E, 'Лист2'!A:A, A224, 'Лист2'!B:B, B224)</f>
        <v>740</v>
      </c>
      <c r="H224" s="8">
        <f t="shared" si="1"/>
        <v>81528.8</v>
      </c>
      <c r="I224" s="8">
        <f t="shared" si="2"/>
        <v>19</v>
      </c>
    </row>
    <row r="225" ht="14.25" customHeight="1">
      <c r="A225" s="9">
        <v>43955.0</v>
      </c>
      <c r="B225" s="10" t="s">
        <v>18</v>
      </c>
      <c r="C225" s="10">
        <v>12301.5</v>
      </c>
      <c r="D225" s="10">
        <v>1085211.0</v>
      </c>
      <c r="E225" s="7">
        <f>SUMIFS('Лист2'!C:C, 'Лист2'!A:A, A225, 'Лист2'!B:B, B225)</f>
        <v>15</v>
      </c>
      <c r="F225" s="7">
        <f>SUMIFS('Лист2'!D:D, 'Лист2'!A:A, A225, 'Лист2'!B:B, B225)</f>
        <v>750</v>
      </c>
      <c r="G225" s="7">
        <f>SUMIFS('Лист2'!E:E, 'Лист2'!A:A, A225, 'Лист2'!B:B, B225)</f>
        <v>647</v>
      </c>
      <c r="H225" s="8">
        <f t="shared" si="1"/>
        <v>72347.4</v>
      </c>
      <c r="I225" s="8">
        <f t="shared" si="2"/>
        <v>19</v>
      </c>
    </row>
    <row r="226" ht="14.25" customHeight="1">
      <c r="A226" s="5">
        <v>43950.0</v>
      </c>
      <c r="B226" s="6" t="s">
        <v>18</v>
      </c>
      <c r="C226" s="6">
        <v>13014.0</v>
      </c>
      <c r="D226" s="6">
        <v>1115992.5</v>
      </c>
      <c r="E226" s="7">
        <f>SUMIFS('Лист2'!C:C, 'Лист2'!A:A, A226, 'Лист2'!B:B, B226)</f>
        <v>15</v>
      </c>
      <c r="F226" s="7">
        <f>SUMIFS('Лист2'!D:D, 'Лист2'!A:A, A226, 'Лист2'!B:B, B226)</f>
        <v>786</v>
      </c>
      <c r="G226" s="7">
        <f>SUMIFS('Лист2'!E:E, 'Лист2'!A:A, A226, 'Лист2'!B:B, B226)</f>
        <v>695</v>
      </c>
      <c r="H226" s="8">
        <f t="shared" si="1"/>
        <v>74399.5</v>
      </c>
      <c r="I226" s="8">
        <f t="shared" si="2"/>
        <v>18</v>
      </c>
    </row>
    <row r="227" ht="14.25" customHeight="1">
      <c r="A227" s="9">
        <v>43953.0</v>
      </c>
      <c r="B227" s="10" t="s">
        <v>18</v>
      </c>
      <c r="C227" s="10">
        <v>12313.5</v>
      </c>
      <c r="D227" s="10">
        <v>1053220.5</v>
      </c>
      <c r="E227" s="7">
        <f>SUMIFS('Лист2'!C:C, 'Лист2'!A:A, A227, 'Лист2'!B:B, B227)</f>
        <v>15</v>
      </c>
      <c r="F227" s="7">
        <f>SUMIFS('Лист2'!D:D, 'Лист2'!A:A, A227, 'Лист2'!B:B, B227)</f>
        <v>751</v>
      </c>
      <c r="G227" s="7">
        <f>SUMIFS('Лист2'!E:E, 'Лист2'!A:A, A227, 'Лист2'!B:B, B227)</f>
        <v>651</v>
      </c>
      <c r="H227" s="8">
        <f t="shared" si="1"/>
        <v>70214.7</v>
      </c>
      <c r="I227" s="8">
        <f t="shared" si="2"/>
        <v>18</v>
      </c>
    </row>
    <row r="228" ht="14.25" customHeight="1">
      <c r="A228" s="5">
        <v>43977.0</v>
      </c>
      <c r="B228" s="6" t="s">
        <v>18</v>
      </c>
      <c r="C228" s="6">
        <v>17391.0</v>
      </c>
      <c r="D228" s="6">
        <v>1489132.5</v>
      </c>
      <c r="E228" s="7">
        <f>SUMIFS('Лист2'!C:C, 'Лист2'!A:A, A228, 'Лист2'!B:B, B228)</f>
        <v>17</v>
      </c>
      <c r="F228" s="7">
        <f>SUMIFS('Лист2'!D:D, 'Лист2'!A:A, A228, 'Лист2'!B:B, B228)</f>
        <v>1140</v>
      </c>
      <c r="G228" s="7">
        <f>SUMIFS('Лист2'!E:E, 'Лист2'!A:A, A228, 'Лист2'!B:B, B228)</f>
        <v>1016</v>
      </c>
      <c r="H228" s="8">
        <f t="shared" si="1"/>
        <v>87596.02941</v>
      </c>
      <c r="I228" s="8">
        <f t="shared" si="2"/>
        <v>22</v>
      </c>
    </row>
    <row r="229" ht="14.25" customHeight="1">
      <c r="A229" s="9">
        <v>43952.0</v>
      </c>
      <c r="B229" s="10" t="s">
        <v>18</v>
      </c>
      <c r="C229" s="10">
        <v>17113.5</v>
      </c>
      <c r="D229" s="10">
        <v>1465842.0</v>
      </c>
      <c r="E229" s="7">
        <f>SUMIFS('Лист2'!C:C, 'Лист2'!A:A, A229, 'Лист2'!B:B, B229)</f>
        <v>15</v>
      </c>
      <c r="F229" s="7">
        <f>SUMIFS('Лист2'!D:D, 'Лист2'!A:A, A229, 'Лист2'!B:B, B229)</f>
        <v>996</v>
      </c>
      <c r="G229" s="7">
        <f>SUMIFS('Лист2'!E:E, 'Лист2'!A:A, A229, 'Лист2'!B:B, B229)</f>
        <v>888</v>
      </c>
      <c r="H229" s="8">
        <f t="shared" si="1"/>
        <v>97722.8</v>
      </c>
      <c r="I229" s="8">
        <f t="shared" si="2"/>
        <v>18</v>
      </c>
    </row>
    <row r="230" ht="14.25" customHeight="1">
      <c r="A230" s="5">
        <v>43963.0</v>
      </c>
      <c r="B230" s="6" t="s">
        <v>18</v>
      </c>
      <c r="C230" s="6">
        <v>12802.5</v>
      </c>
      <c r="D230" s="6">
        <v>1123830.0</v>
      </c>
      <c r="E230" s="7">
        <f>SUMIFS('Лист2'!C:C, 'Лист2'!A:A, A230, 'Лист2'!B:B, B230)</f>
        <v>15</v>
      </c>
      <c r="F230" s="7">
        <f>SUMIFS('Лист2'!D:D, 'Лист2'!A:A, A230, 'Лист2'!B:B, B230)</f>
        <v>845</v>
      </c>
      <c r="G230" s="7">
        <f>SUMIFS('Лист2'!E:E, 'Лист2'!A:A, A230, 'Лист2'!B:B, B230)</f>
        <v>743</v>
      </c>
      <c r="H230" s="8">
        <f t="shared" si="1"/>
        <v>74922</v>
      </c>
      <c r="I230" s="8">
        <f t="shared" si="2"/>
        <v>20</v>
      </c>
    </row>
    <row r="231" ht="14.25" customHeight="1">
      <c r="A231" s="9">
        <v>43972.0</v>
      </c>
      <c r="B231" s="10" t="s">
        <v>18</v>
      </c>
      <c r="C231" s="10">
        <v>16554.0</v>
      </c>
      <c r="D231" s="10">
        <v>1380751.5</v>
      </c>
      <c r="E231" s="7">
        <f>SUMIFS('Лист2'!C:C, 'Лист2'!A:A, A231, 'Лист2'!B:B, B231)</f>
        <v>17</v>
      </c>
      <c r="F231" s="7">
        <f>SUMIFS('Лист2'!D:D, 'Лист2'!A:A, A231, 'Лист2'!B:B, B231)</f>
        <v>1045</v>
      </c>
      <c r="G231" s="7">
        <f>SUMIFS('Лист2'!E:E, 'Лист2'!A:A, A231, 'Лист2'!B:B, B231)</f>
        <v>930</v>
      </c>
      <c r="H231" s="8">
        <f t="shared" si="1"/>
        <v>81220.67647</v>
      </c>
      <c r="I231" s="8">
        <f t="shared" si="2"/>
        <v>21</v>
      </c>
    </row>
    <row r="232" ht="14.25" customHeight="1">
      <c r="A232" s="5">
        <v>43971.0</v>
      </c>
      <c r="B232" s="6" t="s">
        <v>18</v>
      </c>
      <c r="C232" s="6">
        <v>17329.5</v>
      </c>
      <c r="D232" s="6">
        <v>1430254.5</v>
      </c>
      <c r="E232" s="7">
        <f>SUMIFS('Лист2'!C:C, 'Лист2'!A:A, A232, 'Лист2'!B:B, B232)</f>
        <v>16</v>
      </c>
      <c r="F232" s="7">
        <f>SUMIFS('Лист2'!D:D, 'Лист2'!A:A, A232, 'Лист2'!B:B, B232)</f>
        <v>1050</v>
      </c>
      <c r="G232" s="7">
        <f>SUMIFS('Лист2'!E:E, 'Лист2'!A:A, A232, 'Лист2'!B:B, B232)</f>
        <v>938</v>
      </c>
      <c r="H232" s="8">
        <f t="shared" si="1"/>
        <v>89390.90625</v>
      </c>
      <c r="I232" s="8">
        <f t="shared" si="2"/>
        <v>21</v>
      </c>
    </row>
    <row r="233" ht="14.25" customHeight="1">
      <c r="A233" s="9">
        <v>43956.0</v>
      </c>
      <c r="B233" s="10" t="s">
        <v>18</v>
      </c>
      <c r="C233" s="10">
        <v>15987.0</v>
      </c>
      <c r="D233" s="10">
        <v>1384179.0</v>
      </c>
      <c r="E233" s="7">
        <f>SUMIFS('Лист2'!C:C, 'Лист2'!A:A, A233, 'Лист2'!B:B, B233)</f>
        <v>15</v>
      </c>
      <c r="F233" s="7">
        <f>SUMIFS('Лист2'!D:D, 'Лист2'!A:A, A233, 'Лист2'!B:B, B233)</f>
        <v>922</v>
      </c>
      <c r="G233" s="7">
        <f>SUMIFS('Лист2'!E:E, 'Лист2'!A:A, A233, 'Лист2'!B:B, B233)</f>
        <v>823</v>
      </c>
      <c r="H233" s="8">
        <f t="shared" si="1"/>
        <v>92278.6</v>
      </c>
      <c r="I233" s="8">
        <f t="shared" si="2"/>
        <v>19</v>
      </c>
    </row>
    <row r="234" ht="14.25" customHeight="1">
      <c r="A234" s="5">
        <v>43949.0</v>
      </c>
      <c r="B234" s="6" t="s">
        <v>18</v>
      </c>
      <c r="C234" s="6">
        <v>13303.5</v>
      </c>
      <c r="D234" s="6">
        <v>1102887.0</v>
      </c>
      <c r="E234" s="7">
        <f>SUMIFS('Лист2'!C:C, 'Лист2'!A:A, A234, 'Лист2'!B:B, B234)</f>
        <v>15</v>
      </c>
      <c r="F234" s="7">
        <f>SUMIFS('Лист2'!D:D, 'Лист2'!A:A, A234, 'Лист2'!B:B, B234)</f>
        <v>780</v>
      </c>
      <c r="G234" s="7">
        <f>SUMIFS('Лист2'!E:E, 'Лист2'!A:A, A234, 'Лист2'!B:B, B234)</f>
        <v>690</v>
      </c>
      <c r="H234" s="8">
        <f t="shared" si="1"/>
        <v>73525.8</v>
      </c>
      <c r="I234" s="8">
        <f t="shared" si="2"/>
        <v>18</v>
      </c>
    </row>
    <row r="235" ht="14.25" customHeight="1">
      <c r="A235" s="9">
        <v>43964.0</v>
      </c>
      <c r="B235" s="10" t="s">
        <v>18</v>
      </c>
      <c r="C235" s="10">
        <v>14305.5</v>
      </c>
      <c r="D235" s="10">
        <v>1243507.5</v>
      </c>
      <c r="E235" s="7">
        <f>SUMIFS('Лист2'!C:C, 'Лист2'!A:A, A235, 'Лист2'!B:B, B235)</f>
        <v>15</v>
      </c>
      <c r="F235" s="7">
        <f>SUMIFS('Лист2'!D:D, 'Лист2'!A:A, A235, 'Лист2'!B:B, B235)</f>
        <v>898</v>
      </c>
      <c r="G235" s="7">
        <f>SUMIFS('Лист2'!E:E, 'Лист2'!A:A, A235, 'Лист2'!B:B, B235)</f>
        <v>795</v>
      </c>
      <c r="H235" s="8">
        <f t="shared" si="1"/>
        <v>82900.5</v>
      </c>
      <c r="I235" s="8">
        <f t="shared" si="2"/>
        <v>20</v>
      </c>
    </row>
    <row r="236" ht="14.25" customHeight="1">
      <c r="A236" s="5">
        <v>43954.0</v>
      </c>
      <c r="B236" s="6" t="s">
        <v>18</v>
      </c>
      <c r="C236" s="6">
        <v>12924.0</v>
      </c>
      <c r="D236" s="6">
        <v>1120009.5</v>
      </c>
      <c r="E236" s="7">
        <f>SUMIFS('Лист2'!C:C, 'Лист2'!A:A, A236, 'Лист2'!B:B, B236)</f>
        <v>15</v>
      </c>
      <c r="F236" s="7">
        <f>SUMIFS('Лист2'!D:D, 'Лист2'!A:A, A236, 'Лист2'!B:B, B236)</f>
        <v>784</v>
      </c>
      <c r="G236" s="7">
        <f>SUMIFS('Лист2'!E:E, 'Лист2'!A:A, A236, 'Лист2'!B:B, B236)</f>
        <v>696</v>
      </c>
      <c r="H236" s="8">
        <f t="shared" si="1"/>
        <v>74667.3</v>
      </c>
      <c r="I236" s="8">
        <f t="shared" si="2"/>
        <v>18</v>
      </c>
    </row>
    <row r="237" ht="14.25" customHeight="1">
      <c r="A237" s="9">
        <v>43957.0</v>
      </c>
      <c r="B237" s="10" t="s">
        <v>18</v>
      </c>
      <c r="C237" s="10">
        <v>14061.0</v>
      </c>
      <c r="D237" s="10">
        <v>1221057.0</v>
      </c>
      <c r="E237" s="7">
        <f>SUMIFS('Лист2'!C:C, 'Лист2'!A:A, A237, 'Лист2'!B:B, B237)</f>
        <v>15</v>
      </c>
      <c r="F237" s="7">
        <f>SUMIFS('Лист2'!D:D, 'Лист2'!A:A, A237, 'Лист2'!B:B, B237)</f>
        <v>839</v>
      </c>
      <c r="G237" s="7">
        <f>SUMIFS('Лист2'!E:E, 'Лист2'!A:A, A237, 'Лист2'!B:B, B237)</f>
        <v>733</v>
      </c>
      <c r="H237" s="8">
        <f t="shared" si="1"/>
        <v>81403.8</v>
      </c>
      <c r="I237" s="8">
        <f t="shared" si="2"/>
        <v>19</v>
      </c>
    </row>
    <row r="238" ht="14.25" customHeight="1">
      <c r="A238" s="5">
        <v>43974.0</v>
      </c>
      <c r="B238" s="6" t="s">
        <v>18</v>
      </c>
      <c r="C238" s="6">
        <v>21958.5</v>
      </c>
      <c r="D238" s="6">
        <v>1854001.5</v>
      </c>
      <c r="E238" s="7">
        <f>SUMIFS('Лист2'!C:C, 'Лист2'!A:A, A238, 'Лист2'!B:B, B238)</f>
        <v>17</v>
      </c>
      <c r="F238" s="7">
        <f>SUMIFS('Лист2'!D:D, 'Лист2'!A:A, A238, 'Лист2'!B:B, B238)</f>
        <v>1294</v>
      </c>
      <c r="G238" s="7">
        <f>SUMIFS('Лист2'!E:E, 'Лист2'!A:A, A238, 'Лист2'!B:B, B238)</f>
        <v>1155</v>
      </c>
      <c r="H238" s="8">
        <f t="shared" si="1"/>
        <v>109058.9118</v>
      </c>
      <c r="I238" s="8">
        <f t="shared" si="2"/>
        <v>21</v>
      </c>
    </row>
    <row r="239" ht="14.25" customHeight="1">
      <c r="A239" s="9">
        <v>43976.0</v>
      </c>
      <c r="B239" s="10" t="s">
        <v>18</v>
      </c>
      <c r="C239" s="10">
        <v>17211.0</v>
      </c>
      <c r="D239" s="10">
        <v>1507867.5</v>
      </c>
      <c r="E239" s="7">
        <f>SUMIFS('Лист2'!C:C, 'Лист2'!A:A, A239, 'Лист2'!B:B, B239)</f>
        <v>17</v>
      </c>
      <c r="F239" s="7">
        <f>SUMIFS('Лист2'!D:D, 'Лист2'!A:A, A239, 'Лист2'!B:B, B239)</f>
        <v>1142</v>
      </c>
      <c r="G239" s="7">
        <f>SUMIFS('Лист2'!E:E, 'Лист2'!A:A, A239, 'Лист2'!B:B, B239)</f>
        <v>1020</v>
      </c>
      <c r="H239" s="8">
        <f t="shared" si="1"/>
        <v>88698.08824</v>
      </c>
      <c r="I239" s="8">
        <f t="shared" si="2"/>
        <v>22</v>
      </c>
    </row>
    <row r="240" ht="14.25" customHeight="1">
      <c r="A240" s="5">
        <v>43951.0</v>
      </c>
      <c r="B240" s="6" t="s">
        <v>18</v>
      </c>
      <c r="C240" s="6">
        <v>12753.0</v>
      </c>
      <c r="D240" s="6">
        <v>1103068.5</v>
      </c>
      <c r="E240" s="7">
        <f>SUMIFS('Лист2'!C:C, 'Лист2'!A:A, A240, 'Лист2'!B:B, B240)</f>
        <v>15</v>
      </c>
      <c r="F240" s="7">
        <f>SUMIFS('Лист2'!D:D, 'Лист2'!A:A, A240, 'Лист2'!B:B, B240)</f>
        <v>791</v>
      </c>
      <c r="G240" s="7">
        <f>SUMIFS('Лист2'!E:E, 'Лист2'!A:A, A240, 'Лист2'!B:B, B240)</f>
        <v>691</v>
      </c>
      <c r="H240" s="8">
        <f t="shared" si="1"/>
        <v>73537.9</v>
      </c>
      <c r="I240" s="8">
        <f t="shared" si="2"/>
        <v>18</v>
      </c>
    </row>
    <row r="241" ht="14.25" customHeight="1">
      <c r="A241" s="9">
        <v>43961.0</v>
      </c>
      <c r="B241" s="10" t="s">
        <v>18</v>
      </c>
      <c r="C241" s="10">
        <v>16435.5</v>
      </c>
      <c r="D241" s="10">
        <v>1471537.5</v>
      </c>
      <c r="E241" s="7">
        <f>SUMIFS('Лист2'!C:C, 'Лист2'!A:A, A241, 'Лист2'!B:B, B241)</f>
        <v>15</v>
      </c>
      <c r="F241" s="7">
        <f>SUMIFS('Лист2'!D:D, 'Лист2'!A:A, A241, 'Лист2'!B:B, B241)</f>
        <v>950</v>
      </c>
      <c r="G241" s="7">
        <f>SUMIFS('Лист2'!E:E, 'Лист2'!A:A, A241, 'Лист2'!B:B, B241)</f>
        <v>848</v>
      </c>
      <c r="H241" s="8">
        <f t="shared" si="1"/>
        <v>98102.5</v>
      </c>
      <c r="I241" s="8">
        <f t="shared" si="2"/>
        <v>19</v>
      </c>
    </row>
    <row r="242" ht="14.25" customHeight="1">
      <c r="A242" s="5">
        <v>43959.0</v>
      </c>
      <c r="B242" s="6" t="s">
        <v>18</v>
      </c>
      <c r="C242" s="6">
        <v>14494.5</v>
      </c>
      <c r="D242" s="6">
        <v>1269786.0</v>
      </c>
      <c r="E242" s="7">
        <f>SUMIFS('Лист2'!C:C, 'Лист2'!A:A, A242, 'Лист2'!B:B, B242)</f>
        <v>15</v>
      </c>
      <c r="F242" s="7">
        <f>SUMIFS('Лист2'!D:D, 'Лист2'!A:A, A242, 'Лист2'!B:B, B242)</f>
        <v>879</v>
      </c>
      <c r="G242" s="7">
        <f>SUMIFS('Лист2'!E:E, 'Лист2'!A:A, A242, 'Лист2'!B:B, B242)</f>
        <v>768</v>
      </c>
      <c r="H242" s="8">
        <f t="shared" si="1"/>
        <v>84652.4</v>
      </c>
      <c r="I242" s="8">
        <f t="shared" si="2"/>
        <v>19</v>
      </c>
    </row>
    <row r="243" ht="14.25" customHeight="1">
      <c r="A243" s="9">
        <v>43958.0</v>
      </c>
      <c r="B243" s="10" t="s">
        <v>18</v>
      </c>
      <c r="C243" s="10">
        <v>12705.0</v>
      </c>
      <c r="D243" s="10">
        <v>1123894.5</v>
      </c>
      <c r="E243" s="7">
        <f>SUMIFS('Лист2'!C:C, 'Лист2'!A:A, A243, 'Лист2'!B:B, B243)</f>
        <v>15</v>
      </c>
      <c r="F243" s="7">
        <f>SUMIFS('Лист2'!D:D, 'Лист2'!A:A, A243, 'Лист2'!B:B, B243)</f>
        <v>805</v>
      </c>
      <c r="G243" s="7">
        <f>SUMIFS('Лист2'!E:E, 'Лист2'!A:A, A243, 'Лист2'!B:B, B243)</f>
        <v>703</v>
      </c>
      <c r="H243" s="8">
        <f t="shared" si="1"/>
        <v>74926.3</v>
      </c>
      <c r="I243" s="8">
        <f t="shared" si="2"/>
        <v>19</v>
      </c>
    </row>
    <row r="244" ht="14.25" customHeight="1">
      <c r="A244" s="5">
        <v>43975.0</v>
      </c>
      <c r="B244" s="6" t="s">
        <v>18</v>
      </c>
      <c r="C244" s="6">
        <v>18075.0</v>
      </c>
      <c r="D244" s="6">
        <v>1548099.0</v>
      </c>
      <c r="E244" s="7">
        <f>SUMIFS('Лист2'!C:C, 'Лист2'!A:A, A244, 'Лист2'!B:B, B244)</f>
        <v>17</v>
      </c>
      <c r="F244" s="7">
        <f>SUMIFS('Лист2'!D:D, 'Лист2'!A:A, A244, 'Лист2'!B:B, B244)</f>
        <v>1128</v>
      </c>
      <c r="G244" s="7">
        <f>SUMIFS('Лист2'!E:E, 'Лист2'!A:A, A244, 'Лист2'!B:B, B244)</f>
        <v>1001</v>
      </c>
      <c r="H244" s="8">
        <f t="shared" si="1"/>
        <v>91064.64706</v>
      </c>
      <c r="I244" s="8">
        <f t="shared" si="2"/>
        <v>21</v>
      </c>
    </row>
    <row r="245" ht="14.25" customHeight="1">
      <c r="A245" s="9">
        <v>43967.0</v>
      </c>
      <c r="B245" s="10" t="s">
        <v>19</v>
      </c>
      <c r="C245" s="10">
        <v>13120.5</v>
      </c>
      <c r="D245" s="10">
        <v>1215033.0</v>
      </c>
      <c r="E245" s="7">
        <f>SUMIFS('Лист2'!C:C, 'Лист2'!A:A, A245, 'Лист2'!B:B, B245)</f>
        <v>15</v>
      </c>
      <c r="F245" s="7">
        <f>SUMIFS('Лист2'!D:D, 'Лист2'!A:A, A245, 'Лист2'!B:B, B245)</f>
        <v>747</v>
      </c>
      <c r="G245" s="7">
        <f>SUMIFS('Лист2'!E:E, 'Лист2'!A:A, A245, 'Лист2'!B:B, B245)</f>
        <v>647</v>
      </c>
      <c r="H245" s="8">
        <f t="shared" si="1"/>
        <v>81002.2</v>
      </c>
      <c r="I245" s="8">
        <f t="shared" si="2"/>
        <v>20</v>
      </c>
    </row>
    <row r="246" ht="14.25" customHeight="1">
      <c r="A246" s="5">
        <v>43970.0</v>
      </c>
      <c r="B246" s="6" t="s">
        <v>19</v>
      </c>
      <c r="C246" s="6">
        <v>16237.5</v>
      </c>
      <c r="D246" s="6">
        <v>1403047.5</v>
      </c>
      <c r="E246" s="7">
        <f>SUMIFS('Лист2'!C:C, 'Лист2'!A:A, A246, 'Лист2'!B:B, B246)</f>
        <v>15</v>
      </c>
      <c r="F246" s="7">
        <f>SUMIFS('Лист2'!D:D, 'Лист2'!A:A, A246, 'Лист2'!B:B, B246)</f>
        <v>930</v>
      </c>
      <c r="G246" s="7">
        <f>SUMIFS('Лист2'!E:E, 'Лист2'!A:A, A246, 'Лист2'!B:B, B246)</f>
        <v>827</v>
      </c>
      <c r="H246" s="8">
        <f t="shared" si="1"/>
        <v>93536.5</v>
      </c>
      <c r="I246" s="8">
        <f t="shared" si="2"/>
        <v>21</v>
      </c>
    </row>
    <row r="247" ht="14.25" customHeight="1">
      <c r="A247" s="9">
        <v>43968.0</v>
      </c>
      <c r="B247" s="10" t="s">
        <v>19</v>
      </c>
      <c r="C247" s="10">
        <v>11967.0</v>
      </c>
      <c r="D247" s="10">
        <v>1060489.5</v>
      </c>
      <c r="E247" s="7">
        <f>SUMIFS('Лист2'!C:C, 'Лист2'!A:A, A247, 'Лист2'!B:B, B247)</f>
        <v>15</v>
      </c>
      <c r="F247" s="7">
        <f>SUMIFS('Лист2'!D:D, 'Лист2'!A:A, A247, 'Лист2'!B:B, B247)</f>
        <v>692</v>
      </c>
      <c r="G247" s="7">
        <f>SUMIFS('Лист2'!E:E, 'Лист2'!A:A, A247, 'Лист2'!B:B, B247)</f>
        <v>591</v>
      </c>
      <c r="H247" s="8">
        <f t="shared" si="1"/>
        <v>70699.3</v>
      </c>
      <c r="I247" s="8">
        <f t="shared" si="2"/>
        <v>20</v>
      </c>
    </row>
    <row r="248" ht="14.25" customHeight="1">
      <c r="A248" s="5">
        <v>43960.0</v>
      </c>
      <c r="B248" s="6" t="s">
        <v>19</v>
      </c>
      <c r="C248" s="6">
        <v>12037.5</v>
      </c>
      <c r="D248" s="6">
        <v>1081216.5</v>
      </c>
      <c r="E248" s="7">
        <f>SUMIFS('Лист2'!C:C, 'Лист2'!A:A, A248, 'Лист2'!B:B, B248)</f>
        <v>15</v>
      </c>
      <c r="F248" s="7">
        <f>SUMIFS('Лист2'!D:D, 'Лист2'!A:A, A248, 'Лист2'!B:B, B248)</f>
        <v>623</v>
      </c>
      <c r="G248" s="7">
        <f>SUMIFS('Лист2'!E:E, 'Лист2'!A:A, A248, 'Лист2'!B:B, B248)</f>
        <v>535</v>
      </c>
      <c r="H248" s="8">
        <f t="shared" si="1"/>
        <v>72081.1</v>
      </c>
      <c r="I248" s="8">
        <f t="shared" si="2"/>
        <v>19</v>
      </c>
    </row>
    <row r="249" ht="14.25" customHeight="1">
      <c r="A249" s="9">
        <v>43955.0</v>
      </c>
      <c r="B249" s="10" t="s">
        <v>19</v>
      </c>
      <c r="C249" s="10">
        <v>7087.5</v>
      </c>
      <c r="D249" s="10">
        <v>610855.5</v>
      </c>
      <c r="E249" s="7">
        <f>SUMIFS('Лист2'!C:C, 'Лист2'!A:A, A249, 'Лист2'!B:B, B249)</f>
        <v>15</v>
      </c>
      <c r="F249" s="7">
        <f>SUMIFS('Лист2'!D:D, 'Лист2'!A:A, A249, 'Лист2'!B:B, B249)</f>
        <v>390</v>
      </c>
      <c r="G249" s="7">
        <f>SUMIFS('Лист2'!E:E, 'Лист2'!A:A, A249, 'Лист2'!B:B, B249)</f>
        <v>315</v>
      </c>
      <c r="H249" s="8">
        <f t="shared" si="1"/>
        <v>40723.7</v>
      </c>
      <c r="I249" s="8">
        <f t="shared" si="2"/>
        <v>19</v>
      </c>
    </row>
    <row r="250" ht="14.25" customHeight="1">
      <c r="A250" s="5">
        <v>43950.0</v>
      </c>
      <c r="B250" s="6" t="s">
        <v>20</v>
      </c>
      <c r="C250" s="6">
        <v>25816.5</v>
      </c>
      <c r="D250" s="6">
        <v>2360914.5</v>
      </c>
      <c r="E250" s="7">
        <f>SUMIFS('Лист2'!C:C, 'Лист2'!A:A, A250, 'Лист2'!B:B, B250)</f>
        <v>18</v>
      </c>
      <c r="F250" s="7">
        <f>SUMIFS('Лист2'!D:D, 'Лист2'!A:A, A250, 'Лист2'!B:B, B250)</f>
        <v>1599</v>
      </c>
      <c r="G250" s="7">
        <f>SUMIFS('Лист2'!E:E, 'Лист2'!A:A, A250, 'Лист2'!B:B, B250)</f>
        <v>1450</v>
      </c>
      <c r="H250" s="8">
        <f t="shared" si="1"/>
        <v>131161.9167</v>
      </c>
      <c r="I250" s="8">
        <f t="shared" si="2"/>
        <v>18</v>
      </c>
    </row>
    <row r="251" ht="14.25" customHeight="1">
      <c r="A251" s="9">
        <v>43953.0</v>
      </c>
      <c r="B251" s="10" t="s">
        <v>19</v>
      </c>
      <c r="C251" s="10">
        <v>4624.5</v>
      </c>
      <c r="D251" s="10">
        <v>433243.5</v>
      </c>
      <c r="E251" s="7">
        <f>SUMIFS('Лист2'!C:C, 'Лист2'!A:A, A251, 'Лист2'!B:B, B251)</f>
        <v>15</v>
      </c>
      <c r="F251" s="7">
        <f>SUMIFS('Лист2'!D:D, 'Лист2'!A:A, A251, 'Лист2'!B:B, B251)</f>
        <v>274</v>
      </c>
      <c r="G251" s="7">
        <f>SUMIFS('Лист2'!E:E, 'Лист2'!A:A, A251, 'Лист2'!B:B, B251)</f>
        <v>203</v>
      </c>
      <c r="H251" s="8">
        <f t="shared" si="1"/>
        <v>28882.9</v>
      </c>
      <c r="I251" s="8">
        <f t="shared" si="2"/>
        <v>18</v>
      </c>
    </row>
    <row r="252" ht="14.25" customHeight="1">
      <c r="A252" s="5">
        <v>43977.0</v>
      </c>
      <c r="B252" s="6" t="s">
        <v>19</v>
      </c>
      <c r="C252" s="6">
        <v>12259.5</v>
      </c>
      <c r="D252" s="6">
        <v>1152054.0</v>
      </c>
      <c r="E252" s="7">
        <f>SUMIFS('Лист2'!C:C, 'Лист2'!A:A, A252, 'Лист2'!B:B, B252)</f>
        <v>15</v>
      </c>
      <c r="F252" s="7">
        <f>SUMIFS('Лист2'!D:D, 'Лист2'!A:A, A252, 'Лист2'!B:B, B252)</f>
        <v>812</v>
      </c>
      <c r="G252" s="7">
        <f>SUMIFS('Лист2'!E:E, 'Лист2'!A:A, A252, 'Лист2'!B:B, B252)</f>
        <v>711</v>
      </c>
      <c r="H252" s="8">
        <f t="shared" si="1"/>
        <v>76803.6</v>
      </c>
      <c r="I252" s="8">
        <f t="shared" si="2"/>
        <v>22</v>
      </c>
    </row>
    <row r="253" ht="14.25" customHeight="1">
      <c r="A253" s="9">
        <v>43952.0</v>
      </c>
      <c r="B253" s="10" t="s">
        <v>19</v>
      </c>
      <c r="C253" s="10">
        <v>5446.5</v>
      </c>
      <c r="D253" s="10">
        <v>505572.0</v>
      </c>
      <c r="E253" s="7">
        <f>SUMIFS('Лист2'!C:C, 'Лист2'!A:A, A253, 'Лист2'!B:B, B253)</f>
        <v>15</v>
      </c>
      <c r="F253" s="7">
        <f>SUMIFS('Лист2'!D:D, 'Лист2'!A:A, A253, 'Лист2'!B:B, B253)</f>
        <v>294</v>
      </c>
      <c r="G253" s="7">
        <f>SUMIFS('Лист2'!E:E, 'Лист2'!A:A, A253, 'Лист2'!B:B, B253)</f>
        <v>225</v>
      </c>
      <c r="H253" s="8">
        <f t="shared" si="1"/>
        <v>33704.8</v>
      </c>
      <c r="I253" s="8">
        <f t="shared" si="2"/>
        <v>18</v>
      </c>
    </row>
    <row r="254" ht="14.25" customHeight="1">
      <c r="A254" s="5">
        <v>43963.0</v>
      </c>
      <c r="B254" s="6" t="s">
        <v>19</v>
      </c>
      <c r="C254" s="6">
        <v>11296.5</v>
      </c>
      <c r="D254" s="6">
        <v>989632.5</v>
      </c>
      <c r="E254" s="7">
        <f>SUMIFS('Лист2'!C:C, 'Лист2'!A:A, A254, 'Лист2'!B:B, B254)</f>
        <v>15</v>
      </c>
      <c r="F254" s="7">
        <f>SUMIFS('Лист2'!D:D, 'Лист2'!A:A, A254, 'Лист2'!B:B, B254)</f>
        <v>624</v>
      </c>
      <c r="G254" s="7">
        <f>SUMIFS('Лист2'!E:E, 'Лист2'!A:A, A254, 'Лист2'!B:B, B254)</f>
        <v>538</v>
      </c>
      <c r="H254" s="8">
        <f t="shared" si="1"/>
        <v>65975.5</v>
      </c>
      <c r="I254" s="8">
        <f t="shared" si="2"/>
        <v>20</v>
      </c>
    </row>
    <row r="255" ht="14.25" customHeight="1">
      <c r="A255" s="9">
        <v>43972.0</v>
      </c>
      <c r="B255" s="10" t="s">
        <v>19</v>
      </c>
      <c r="C255" s="10">
        <v>12135.0</v>
      </c>
      <c r="D255" s="10">
        <v>1103623.5</v>
      </c>
      <c r="E255" s="7">
        <f>SUMIFS('Лист2'!C:C, 'Лист2'!A:A, A255, 'Лист2'!B:B, B255)</f>
        <v>15</v>
      </c>
      <c r="F255" s="7">
        <f>SUMIFS('Лист2'!D:D, 'Лист2'!A:A, A255, 'Лист2'!B:B, B255)</f>
        <v>749</v>
      </c>
      <c r="G255" s="7">
        <f>SUMIFS('Лист2'!E:E, 'Лист2'!A:A, A255, 'Лист2'!B:B, B255)</f>
        <v>652</v>
      </c>
      <c r="H255" s="8">
        <f t="shared" si="1"/>
        <v>73574.9</v>
      </c>
      <c r="I255" s="8">
        <f t="shared" si="2"/>
        <v>21</v>
      </c>
    </row>
    <row r="256" ht="14.25" customHeight="1">
      <c r="A256" s="5">
        <v>43971.0</v>
      </c>
      <c r="B256" s="6" t="s">
        <v>19</v>
      </c>
      <c r="C256" s="6">
        <v>12630.0</v>
      </c>
      <c r="D256" s="6">
        <v>1104858.0</v>
      </c>
      <c r="E256" s="7">
        <f>SUMIFS('Лист2'!C:C, 'Лист2'!A:A, A256, 'Лист2'!B:B, B256)</f>
        <v>15</v>
      </c>
      <c r="F256" s="7">
        <f>SUMIFS('Лист2'!D:D, 'Лист2'!A:A, A256, 'Лист2'!B:B, B256)</f>
        <v>760</v>
      </c>
      <c r="G256" s="7">
        <f>SUMIFS('Лист2'!E:E, 'Лист2'!A:A, A256, 'Лист2'!B:B, B256)</f>
        <v>664</v>
      </c>
      <c r="H256" s="8">
        <f t="shared" si="1"/>
        <v>73657.2</v>
      </c>
      <c r="I256" s="8">
        <f t="shared" si="2"/>
        <v>21</v>
      </c>
    </row>
    <row r="257" ht="14.25" customHeight="1">
      <c r="A257" s="9">
        <v>43956.0</v>
      </c>
      <c r="B257" s="10" t="s">
        <v>19</v>
      </c>
      <c r="C257" s="10">
        <v>8223.0</v>
      </c>
      <c r="D257" s="10">
        <v>694593.0</v>
      </c>
      <c r="E257" s="7">
        <f>SUMIFS('Лист2'!C:C, 'Лист2'!A:A, A257, 'Лист2'!B:B, B257)</f>
        <v>15</v>
      </c>
      <c r="F257" s="7">
        <f>SUMIFS('Лист2'!D:D, 'Лист2'!A:A, A257, 'Лист2'!B:B, B257)</f>
        <v>455</v>
      </c>
      <c r="G257" s="7">
        <f>SUMIFS('Лист2'!E:E, 'Лист2'!A:A, A257, 'Лист2'!B:B, B257)</f>
        <v>381</v>
      </c>
      <c r="H257" s="8">
        <f t="shared" si="1"/>
        <v>46306.2</v>
      </c>
      <c r="I257" s="8">
        <f t="shared" si="2"/>
        <v>19</v>
      </c>
    </row>
    <row r="258" ht="14.25" customHeight="1">
      <c r="A258" s="5">
        <v>43949.0</v>
      </c>
      <c r="B258" s="6" t="s">
        <v>20</v>
      </c>
      <c r="C258" s="6">
        <v>25149.0</v>
      </c>
      <c r="D258" s="6">
        <v>2277072.0</v>
      </c>
      <c r="E258" s="7">
        <f>SUMIFS('Лист2'!C:C, 'Лист2'!A:A, A258, 'Лист2'!B:B, B258)</f>
        <v>18</v>
      </c>
      <c r="F258" s="7">
        <f>SUMIFS('Лист2'!D:D, 'Лист2'!A:A, A258, 'Лист2'!B:B, B258)</f>
        <v>1505</v>
      </c>
      <c r="G258" s="7">
        <f>SUMIFS('Лист2'!E:E, 'Лист2'!A:A, A258, 'Лист2'!B:B, B258)</f>
        <v>1368</v>
      </c>
      <c r="H258" s="8">
        <f t="shared" si="1"/>
        <v>126504</v>
      </c>
      <c r="I258" s="8">
        <f t="shared" si="2"/>
        <v>18</v>
      </c>
    </row>
    <row r="259" ht="14.25" customHeight="1">
      <c r="A259" s="9">
        <v>43964.0</v>
      </c>
      <c r="B259" s="10" t="s">
        <v>19</v>
      </c>
      <c r="C259" s="10">
        <v>10401.0</v>
      </c>
      <c r="D259" s="10">
        <v>949912.5</v>
      </c>
      <c r="E259" s="7">
        <f>SUMIFS('Лист2'!C:C, 'Лист2'!A:A, A259, 'Лист2'!B:B, B259)</f>
        <v>15</v>
      </c>
      <c r="F259" s="7">
        <f>SUMIFS('Лист2'!D:D, 'Лист2'!A:A, A259, 'Лист2'!B:B, B259)</f>
        <v>599</v>
      </c>
      <c r="G259" s="7">
        <f>SUMIFS('Лист2'!E:E, 'Лист2'!A:A, A259, 'Лист2'!B:B, B259)</f>
        <v>515</v>
      </c>
      <c r="H259" s="8">
        <f t="shared" si="1"/>
        <v>63327.5</v>
      </c>
      <c r="I259" s="8">
        <f t="shared" si="2"/>
        <v>20</v>
      </c>
    </row>
    <row r="260" ht="14.25" customHeight="1">
      <c r="A260" s="5">
        <v>43982.0</v>
      </c>
      <c r="B260" s="6" t="s">
        <v>18</v>
      </c>
      <c r="C260" s="6">
        <v>17689.5</v>
      </c>
      <c r="D260" s="6">
        <v>1592119.5</v>
      </c>
      <c r="E260" s="7">
        <f>SUMIFS('Лист2'!C:C, 'Лист2'!A:A, A260, 'Лист2'!B:B, B260)</f>
        <v>17</v>
      </c>
      <c r="F260" s="7">
        <f>SUMIFS('Лист2'!D:D, 'Лист2'!A:A, A260, 'Лист2'!B:B, B260)</f>
        <v>1186</v>
      </c>
      <c r="G260" s="7">
        <f>SUMIFS('Лист2'!E:E, 'Лист2'!A:A, A260, 'Лист2'!B:B, B260)</f>
        <v>1054</v>
      </c>
      <c r="H260" s="8">
        <f t="shared" si="1"/>
        <v>93654.08824</v>
      </c>
      <c r="I260" s="8">
        <f t="shared" si="2"/>
        <v>22</v>
      </c>
    </row>
    <row r="261" ht="14.25" customHeight="1">
      <c r="A261" s="9">
        <v>43954.0</v>
      </c>
      <c r="B261" s="10" t="s">
        <v>19</v>
      </c>
      <c r="C261" s="10">
        <v>8127.0</v>
      </c>
      <c r="D261" s="10">
        <v>665302.5</v>
      </c>
      <c r="E261" s="7">
        <f>SUMIFS('Лист2'!C:C, 'Лист2'!A:A, A261, 'Лист2'!B:B, B261)</f>
        <v>15</v>
      </c>
      <c r="F261" s="7">
        <f>SUMIFS('Лист2'!D:D, 'Лист2'!A:A, A261, 'Лист2'!B:B, B261)</f>
        <v>455</v>
      </c>
      <c r="G261" s="7">
        <f>SUMIFS('Лист2'!E:E, 'Лист2'!A:A, A261, 'Лист2'!B:B, B261)</f>
        <v>384</v>
      </c>
      <c r="H261" s="8">
        <f t="shared" si="1"/>
        <v>44353.5</v>
      </c>
      <c r="I261" s="8">
        <f t="shared" si="2"/>
        <v>18</v>
      </c>
    </row>
    <row r="262" ht="14.25" customHeight="1">
      <c r="A262" s="5">
        <v>43981.0</v>
      </c>
      <c r="B262" s="6" t="s">
        <v>18</v>
      </c>
      <c r="C262" s="6">
        <v>27250.5</v>
      </c>
      <c r="D262" s="6">
        <v>2457252.0</v>
      </c>
      <c r="E262" s="7">
        <f>SUMIFS('Лист2'!C:C, 'Лист2'!A:A, A262, 'Лист2'!B:B, B262)</f>
        <v>17</v>
      </c>
      <c r="F262" s="7">
        <f>SUMIFS('Лист2'!D:D, 'Лист2'!A:A, A262, 'Лист2'!B:B, B262)</f>
        <v>1697</v>
      </c>
      <c r="G262" s="7">
        <f>SUMIFS('Лист2'!E:E, 'Лист2'!A:A, A262, 'Лист2'!B:B, B262)</f>
        <v>1499</v>
      </c>
      <c r="H262" s="8">
        <f t="shared" si="1"/>
        <v>144544.2353</v>
      </c>
      <c r="I262" s="8">
        <f t="shared" si="2"/>
        <v>22</v>
      </c>
    </row>
    <row r="263" ht="14.25" customHeight="1">
      <c r="A263" s="9">
        <v>43957.0</v>
      </c>
      <c r="B263" s="10" t="s">
        <v>19</v>
      </c>
      <c r="C263" s="10">
        <v>8464.5</v>
      </c>
      <c r="D263" s="10">
        <v>739291.5</v>
      </c>
      <c r="E263" s="7">
        <f>SUMIFS('Лист2'!C:C, 'Лист2'!A:A, A263, 'Лист2'!B:B, B263)</f>
        <v>15</v>
      </c>
      <c r="F263" s="7">
        <f>SUMIFS('Лист2'!D:D, 'Лист2'!A:A, A263, 'Лист2'!B:B, B263)</f>
        <v>467</v>
      </c>
      <c r="G263" s="7">
        <f>SUMIFS('Лист2'!E:E, 'Лист2'!A:A, A263, 'Лист2'!B:B, B263)</f>
        <v>389</v>
      </c>
      <c r="H263" s="8">
        <f t="shared" si="1"/>
        <v>49286.1</v>
      </c>
      <c r="I263" s="8">
        <f t="shared" si="2"/>
        <v>19</v>
      </c>
    </row>
    <row r="264" ht="14.25" customHeight="1">
      <c r="A264" s="5">
        <v>43974.0</v>
      </c>
      <c r="B264" s="6" t="s">
        <v>19</v>
      </c>
      <c r="C264" s="6">
        <v>14167.5</v>
      </c>
      <c r="D264" s="6">
        <v>1315075.5</v>
      </c>
      <c r="E264" s="7">
        <f>SUMIFS('Лист2'!C:C, 'Лист2'!A:A, A264, 'Лист2'!B:B, B264)</f>
        <v>15</v>
      </c>
      <c r="F264" s="7">
        <f>SUMIFS('Лист2'!D:D, 'Лист2'!A:A, A264, 'Лист2'!B:B, B264)</f>
        <v>840</v>
      </c>
      <c r="G264" s="7">
        <f>SUMIFS('Лист2'!E:E, 'Лист2'!A:A, A264, 'Лист2'!B:B, B264)</f>
        <v>725</v>
      </c>
      <c r="H264" s="8">
        <f t="shared" si="1"/>
        <v>87671.7</v>
      </c>
      <c r="I264" s="8">
        <f t="shared" si="2"/>
        <v>21</v>
      </c>
    </row>
    <row r="265" ht="14.25" customHeight="1">
      <c r="A265" s="9">
        <v>43979.0</v>
      </c>
      <c r="B265" s="10" t="s">
        <v>18</v>
      </c>
      <c r="C265" s="10">
        <v>16500.0</v>
      </c>
      <c r="D265" s="10">
        <v>1487928.0</v>
      </c>
      <c r="E265" s="7">
        <f>SUMIFS('Лист2'!C:C, 'Лист2'!A:A, A265, 'Лист2'!B:B, B265)</f>
        <v>17</v>
      </c>
      <c r="F265" s="7">
        <f>SUMIFS('Лист2'!D:D, 'Лист2'!A:A, A265, 'Лист2'!B:B, B265)</f>
        <v>1097</v>
      </c>
      <c r="G265" s="7">
        <f>SUMIFS('Лист2'!E:E, 'Лист2'!A:A, A265, 'Лист2'!B:B, B265)</f>
        <v>968</v>
      </c>
      <c r="H265" s="8">
        <f t="shared" si="1"/>
        <v>87525.17647</v>
      </c>
      <c r="I265" s="8">
        <f t="shared" si="2"/>
        <v>22</v>
      </c>
    </row>
    <row r="266" ht="14.25" customHeight="1">
      <c r="A266" s="5">
        <v>43976.0</v>
      </c>
      <c r="B266" s="6" t="s">
        <v>19</v>
      </c>
      <c r="C266" s="6">
        <v>13260.0</v>
      </c>
      <c r="D266" s="6">
        <v>1230687.0</v>
      </c>
      <c r="E266" s="7">
        <f>SUMIFS('Лист2'!C:C, 'Лист2'!A:A, A266, 'Лист2'!B:B, B266)</f>
        <v>15</v>
      </c>
      <c r="F266" s="7">
        <f>SUMIFS('Лист2'!D:D, 'Лист2'!A:A, A266, 'Лист2'!B:B, B266)</f>
        <v>835</v>
      </c>
      <c r="G266" s="7">
        <f>SUMIFS('Лист2'!E:E, 'Лист2'!A:A, A266, 'Лист2'!B:B, B266)</f>
        <v>736</v>
      </c>
      <c r="H266" s="8">
        <f t="shared" si="1"/>
        <v>82045.8</v>
      </c>
      <c r="I266" s="8">
        <f t="shared" si="2"/>
        <v>22</v>
      </c>
    </row>
    <row r="267" ht="14.25" customHeight="1">
      <c r="A267" s="9">
        <v>43951.0</v>
      </c>
      <c r="B267" s="10" t="s">
        <v>19</v>
      </c>
      <c r="C267" s="10">
        <v>4285.5</v>
      </c>
      <c r="D267" s="10">
        <v>404691.0</v>
      </c>
      <c r="E267" s="7">
        <f>SUMIFS('Лист2'!C:C, 'Лист2'!A:A, A267, 'Лист2'!B:B, B267)</f>
        <v>15</v>
      </c>
      <c r="F267" s="7">
        <f>SUMIFS('Лист2'!D:D, 'Лист2'!A:A, A267, 'Лист2'!B:B, B267)</f>
        <v>262</v>
      </c>
      <c r="G267" s="7">
        <f>SUMIFS('Лист2'!E:E, 'Лист2'!A:A, A267, 'Лист2'!B:B, B267)</f>
        <v>195</v>
      </c>
      <c r="H267" s="8">
        <f t="shared" si="1"/>
        <v>26979.4</v>
      </c>
      <c r="I267" s="8">
        <f t="shared" si="2"/>
        <v>18</v>
      </c>
    </row>
    <row r="268" ht="14.25" customHeight="1">
      <c r="A268" s="5">
        <v>43961.0</v>
      </c>
      <c r="B268" s="6" t="s">
        <v>19</v>
      </c>
      <c r="C268" s="6">
        <v>13440.0</v>
      </c>
      <c r="D268" s="6">
        <v>1198285.5</v>
      </c>
      <c r="E268" s="7">
        <f>SUMIFS('Лист2'!C:C, 'Лист2'!A:A, A268, 'Лист2'!B:B, B268)</f>
        <v>15</v>
      </c>
      <c r="F268" s="7">
        <f>SUMIFS('Лист2'!D:D, 'Лист2'!A:A, A268, 'Лист2'!B:B, B268)</f>
        <v>706</v>
      </c>
      <c r="G268" s="7">
        <f>SUMIFS('Лист2'!E:E, 'Лист2'!A:A, A268, 'Лист2'!B:B, B268)</f>
        <v>608</v>
      </c>
      <c r="H268" s="8">
        <f t="shared" si="1"/>
        <v>79885.7</v>
      </c>
      <c r="I268" s="8">
        <f t="shared" si="2"/>
        <v>19</v>
      </c>
    </row>
    <row r="269" ht="14.25" customHeight="1">
      <c r="A269" s="9">
        <v>43959.0</v>
      </c>
      <c r="B269" s="10" t="s">
        <v>19</v>
      </c>
      <c r="C269" s="10">
        <v>9058.5</v>
      </c>
      <c r="D269" s="10">
        <v>798759.0</v>
      </c>
      <c r="E269" s="7">
        <f>SUMIFS('Лист2'!C:C, 'Лист2'!A:A, A269, 'Лист2'!B:B, B269)</f>
        <v>15</v>
      </c>
      <c r="F269" s="7">
        <f>SUMIFS('Лист2'!D:D, 'Лист2'!A:A, A269, 'Лист2'!B:B, B269)</f>
        <v>492</v>
      </c>
      <c r="G269" s="7">
        <f>SUMIFS('Лист2'!E:E, 'Лист2'!A:A, A269, 'Лист2'!B:B, B269)</f>
        <v>412</v>
      </c>
      <c r="H269" s="8">
        <f t="shared" si="1"/>
        <v>53250.6</v>
      </c>
      <c r="I269" s="8">
        <f t="shared" si="2"/>
        <v>19</v>
      </c>
    </row>
    <row r="270" ht="14.25" customHeight="1">
      <c r="A270" s="5">
        <v>43958.0</v>
      </c>
      <c r="B270" s="6" t="s">
        <v>19</v>
      </c>
      <c r="C270" s="6">
        <v>8719.5</v>
      </c>
      <c r="D270" s="6">
        <v>769276.5</v>
      </c>
      <c r="E270" s="7">
        <f>SUMIFS('Лист2'!C:C, 'Лист2'!A:A, A270, 'Лист2'!B:B, B270)</f>
        <v>15</v>
      </c>
      <c r="F270" s="7">
        <f>SUMIFS('Лист2'!D:D, 'Лист2'!A:A, A270, 'Лист2'!B:B, B270)</f>
        <v>480</v>
      </c>
      <c r="G270" s="7">
        <f>SUMIFS('Лист2'!E:E, 'Лист2'!A:A, A270, 'Лист2'!B:B, B270)</f>
        <v>398</v>
      </c>
      <c r="H270" s="8">
        <f t="shared" si="1"/>
        <v>51285.1</v>
      </c>
      <c r="I270" s="8">
        <f t="shared" si="2"/>
        <v>19</v>
      </c>
    </row>
    <row r="271" ht="14.25" customHeight="1">
      <c r="A271" s="9">
        <v>43975.0</v>
      </c>
      <c r="B271" s="10" t="s">
        <v>19</v>
      </c>
      <c r="C271" s="10">
        <v>12666.0</v>
      </c>
      <c r="D271" s="10">
        <v>1184865.0</v>
      </c>
      <c r="E271" s="7">
        <f>SUMIFS('Лист2'!C:C, 'Лист2'!A:A, A271, 'Лист2'!B:B, B271)</f>
        <v>15</v>
      </c>
      <c r="F271" s="7">
        <f>SUMIFS('Лист2'!D:D, 'Лист2'!A:A, A271, 'Лист2'!B:B, B271)</f>
        <v>779</v>
      </c>
      <c r="G271" s="7">
        <f>SUMIFS('Лист2'!E:E, 'Лист2'!A:A, A271, 'Лист2'!B:B, B271)</f>
        <v>673</v>
      </c>
      <c r="H271" s="8">
        <f t="shared" si="1"/>
        <v>78991</v>
      </c>
      <c r="I271" s="8">
        <f t="shared" si="2"/>
        <v>21</v>
      </c>
    </row>
    <row r="272" ht="14.25" customHeight="1">
      <c r="A272" s="5">
        <v>43967.0</v>
      </c>
      <c r="B272" s="6" t="s">
        <v>20</v>
      </c>
      <c r="C272" s="6">
        <v>34563.0</v>
      </c>
      <c r="D272" s="6">
        <v>2922883.5</v>
      </c>
      <c r="E272" s="7">
        <f>SUMIFS('Лист2'!C:C, 'Лист2'!A:A, A272, 'Лист2'!B:B, B272)</f>
        <v>19</v>
      </c>
      <c r="F272" s="7">
        <f>SUMIFS('Лист2'!D:D, 'Лист2'!A:A, A272, 'Лист2'!B:B, B272)</f>
        <v>2039</v>
      </c>
      <c r="G272" s="7">
        <f>SUMIFS('Лист2'!E:E, 'Лист2'!A:A, A272, 'Лист2'!B:B, B272)</f>
        <v>1868</v>
      </c>
      <c r="H272" s="8">
        <f t="shared" si="1"/>
        <v>153835.9737</v>
      </c>
      <c r="I272" s="8">
        <f t="shared" si="2"/>
        <v>20</v>
      </c>
    </row>
    <row r="273" ht="14.25" customHeight="1">
      <c r="A273" s="9">
        <v>43970.0</v>
      </c>
      <c r="B273" s="10" t="s">
        <v>20</v>
      </c>
      <c r="C273" s="10">
        <v>28882.5</v>
      </c>
      <c r="D273" s="10">
        <v>2446530.0</v>
      </c>
      <c r="E273" s="7">
        <f>SUMIFS('Лист2'!C:C, 'Лист2'!A:A, A273, 'Лист2'!B:B, B273)</f>
        <v>19</v>
      </c>
      <c r="F273" s="7">
        <f>SUMIFS('Лист2'!D:D, 'Лист2'!A:A, A273, 'Лист2'!B:B, B273)</f>
        <v>1831</v>
      </c>
      <c r="G273" s="7">
        <f>SUMIFS('Лист2'!E:E, 'Лист2'!A:A, A273, 'Лист2'!B:B, B273)</f>
        <v>1667</v>
      </c>
      <c r="H273" s="8">
        <f t="shared" si="1"/>
        <v>128764.7368</v>
      </c>
      <c r="I273" s="8">
        <f t="shared" si="2"/>
        <v>21</v>
      </c>
    </row>
    <row r="274" ht="14.25" customHeight="1">
      <c r="A274" s="5">
        <v>43968.0</v>
      </c>
      <c r="B274" s="6" t="s">
        <v>20</v>
      </c>
      <c r="C274" s="6">
        <v>28275.0</v>
      </c>
      <c r="D274" s="6">
        <v>2435632.5</v>
      </c>
      <c r="E274" s="7">
        <f>SUMIFS('Лист2'!C:C, 'Лист2'!A:A, A274, 'Лист2'!B:B, B274)</f>
        <v>19</v>
      </c>
      <c r="F274" s="7">
        <f>SUMIFS('Лист2'!D:D, 'Лист2'!A:A, A274, 'Лист2'!B:B, B274)</f>
        <v>1790</v>
      </c>
      <c r="G274" s="7">
        <f>SUMIFS('Лист2'!E:E, 'Лист2'!A:A, A274, 'Лист2'!B:B, B274)</f>
        <v>1633</v>
      </c>
      <c r="H274" s="8">
        <f t="shared" si="1"/>
        <v>128191.1842</v>
      </c>
      <c r="I274" s="8">
        <f t="shared" si="2"/>
        <v>20</v>
      </c>
    </row>
    <row r="275" ht="14.25" customHeight="1">
      <c r="A275" s="9">
        <v>43960.0</v>
      </c>
      <c r="B275" s="10" t="s">
        <v>20</v>
      </c>
      <c r="C275" s="10">
        <v>26271.0</v>
      </c>
      <c r="D275" s="10">
        <v>2384937.0</v>
      </c>
      <c r="E275" s="7">
        <f>SUMIFS('Лист2'!C:C, 'Лист2'!A:A, A275, 'Лист2'!B:B, B275)</f>
        <v>19</v>
      </c>
      <c r="F275" s="7">
        <f>SUMIFS('Лист2'!D:D, 'Лист2'!A:A, A275, 'Лист2'!B:B, B275)</f>
        <v>1542</v>
      </c>
      <c r="G275" s="7">
        <f>SUMIFS('Лист2'!E:E, 'Лист2'!A:A, A275, 'Лист2'!B:B, B275)</f>
        <v>1412</v>
      </c>
      <c r="H275" s="8">
        <f t="shared" si="1"/>
        <v>125523</v>
      </c>
      <c r="I275" s="8">
        <f t="shared" si="2"/>
        <v>19</v>
      </c>
    </row>
    <row r="276" ht="14.25" customHeight="1">
      <c r="A276" s="5">
        <v>43955.0</v>
      </c>
      <c r="B276" s="6" t="s">
        <v>20</v>
      </c>
      <c r="C276" s="6">
        <v>23587.5</v>
      </c>
      <c r="D276" s="6">
        <v>2155668.0</v>
      </c>
      <c r="E276" s="7">
        <f>SUMIFS('Лист2'!C:C, 'Лист2'!A:A, A276, 'Лист2'!B:B, B276)</f>
        <v>19</v>
      </c>
      <c r="F276" s="7">
        <f>SUMIFS('Лист2'!D:D, 'Лист2'!A:A, A276, 'Лист2'!B:B, B276)</f>
        <v>1479</v>
      </c>
      <c r="G276" s="7">
        <f>SUMIFS('Лист2'!E:E, 'Лист2'!A:A, A276, 'Лист2'!B:B, B276)</f>
        <v>1346</v>
      </c>
      <c r="H276" s="8">
        <f t="shared" si="1"/>
        <v>113456.2105</v>
      </c>
      <c r="I276" s="8">
        <f t="shared" si="2"/>
        <v>19</v>
      </c>
    </row>
    <row r="277" ht="14.25" customHeight="1">
      <c r="A277" s="9">
        <v>43953.0</v>
      </c>
      <c r="B277" s="10" t="s">
        <v>20</v>
      </c>
      <c r="C277" s="10">
        <v>18427.5</v>
      </c>
      <c r="D277" s="10">
        <v>1682851.5</v>
      </c>
      <c r="E277" s="7">
        <f>SUMIFS('Лист2'!C:C, 'Лист2'!A:A, A277, 'Лист2'!B:B, B277)</f>
        <v>19</v>
      </c>
      <c r="F277" s="7">
        <f>SUMIFS('Лист2'!D:D, 'Лист2'!A:A, A277, 'Лист2'!B:B, B277)</f>
        <v>1206</v>
      </c>
      <c r="G277" s="7">
        <f>SUMIFS('Лист2'!E:E, 'Лист2'!A:A, A277, 'Лист2'!B:B, B277)</f>
        <v>1080</v>
      </c>
      <c r="H277" s="8">
        <f t="shared" si="1"/>
        <v>88571.13158</v>
      </c>
      <c r="I277" s="8">
        <f t="shared" si="2"/>
        <v>18</v>
      </c>
    </row>
    <row r="278" ht="14.25" customHeight="1">
      <c r="A278" s="5">
        <v>43977.0</v>
      </c>
      <c r="B278" s="6" t="s">
        <v>20</v>
      </c>
      <c r="C278" s="6">
        <v>27156.0</v>
      </c>
      <c r="D278" s="6">
        <v>2410803.0</v>
      </c>
      <c r="E278" s="7">
        <f>SUMIFS('Лист2'!C:C, 'Лист2'!A:A, A278, 'Лист2'!B:B, B278)</f>
        <v>20</v>
      </c>
      <c r="F278" s="7">
        <f>SUMIFS('Лист2'!D:D, 'Лист2'!A:A, A278, 'Лист2'!B:B, B278)</f>
        <v>1814</v>
      </c>
      <c r="G278" s="7">
        <f>SUMIFS('Лист2'!E:E, 'Лист2'!A:A, A278, 'Лист2'!B:B, B278)</f>
        <v>1655</v>
      </c>
      <c r="H278" s="8">
        <f t="shared" si="1"/>
        <v>120540.15</v>
      </c>
      <c r="I278" s="8">
        <f t="shared" si="2"/>
        <v>22</v>
      </c>
    </row>
    <row r="279" ht="14.25" customHeight="1">
      <c r="A279" s="9">
        <v>43952.0</v>
      </c>
      <c r="B279" s="10" t="s">
        <v>20</v>
      </c>
      <c r="C279" s="10">
        <v>35190.0</v>
      </c>
      <c r="D279" s="10">
        <v>3168510.0</v>
      </c>
      <c r="E279" s="7">
        <f>SUMIFS('Лист2'!C:C, 'Лист2'!A:A, A279, 'Лист2'!B:B, B279)</f>
        <v>19</v>
      </c>
      <c r="F279" s="7">
        <f>SUMIFS('Лист2'!D:D, 'Лист2'!A:A, A279, 'Лист2'!B:B, B279)</f>
        <v>1987</v>
      </c>
      <c r="G279" s="7">
        <f>SUMIFS('Лист2'!E:E, 'Лист2'!A:A, A279, 'Лист2'!B:B, B279)</f>
        <v>1791</v>
      </c>
      <c r="H279" s="8">
        <f t="shared" si="1"/>
        <v>166763.6842</v>
      </c>
      <c r="I279" s="8">
        <f t="shared" si="2"/>
        <v>18</v>
      </c>
    </row>
    <row r="280" ht="14.25" customHeight="1">
      <c r="A280" s="5">
        <v>43963.0</v>
      </c>
      <c r="B280" s="6" t="s">
        <v>20</v>
      </c>
      <c r="C280" s="6">
        <v>25483.5</v>
      </c>
      <c r="D280" s="6">
        <v>2243160.0</v>
      </c>
      <c r="E280" s="7">
        <f>SUMIFS('Лист2'!C:C, 'Лист2'!A:A, A280, 'Лист2'!B:B, B280)</f>
        <v>19</v>
      </c>
      <c r="F280" s="7">
        <f>SUMIFS('Лист2'!D:D, 'Лист2'!A:A, A280, 'Лист2'!B:B, B280)</f>
        <v>1598</v>
      </c>
      <c r="G280" s="7">
        <f>SUMIFS('Лист2'!E:E, 'Лист2'!A:A, A280, 'Лист2'!B:B, B280)</f>
        <v>1454</v>
      </c>
      <c r="H280" s="8">
        <f t="shared" si="1"/>
        <v>118061.0526</v>
      </c>
      <c r="I280" s="8">
        <f t="shared" si="2"/>
        <v>20</v>
      </c>
    </row>
    <row r="281" ht="14.25" customHeight="1">
      <c r="A281" s="9">
        <v>43972.0</v>
      </c>
      <c r="B281" s="10" t="s">
        <v>20</v>
      </c>
      <c r="C281" s="10">
        <v>25362.0</v>
      </c>
      <c r="D281" s="10">
        <v>2198935.5</v>
      </c>
      <c r="E281" s="7">
        <f>SUMIFS('Лист2'!C:C, 'Лист2'!A:A, A281, 'Лист2'!B:B, B281)</f>
        <v>19</v>
      </c>
      <c r="F281" s="7">
        <f>SUMIFS('Лист2'!D:D, 'Лист2'!A:A, A281, 'Лист2'!B:B, B281)</f>
        <v>1650</v>
      </c>
      <c r="G281" s="7">
        <f>SUMIFS('Лист2'!E:E, 'Лист2'!A:A, A281, 'Лист2'!B:B, B281)</f>
        <v>1505</v>
      </c>
      <c r="H281" s="8">
        <f t="shared" si="1"/>
        <v>115733.4474</v>
      </c>
      <c r="I281" s="8">
        <f t="shared" si="2"/>
        <v>21</v>
      </c>
    </row>
    <row r="282" ht="14.25" customHeight="1">
      <c r="A282" s="5">
        <v>43971.0</v>
      </c>
      <c r="B282" s="6" t="s">
        <v>20</v>
      </c>
      <c r="C282" s="6">
        <v>28849.5</v>
      </c>
      <c r="D282" s="6">
        <v>2520759.0</v>
      </c>
      <c r="E282" s="7">
        <f>SUMIFS('Лист2'!C:C, 'Лист2'!A:A, A282, 'Лист2'!B:B, B282)</f>
        <v>19</v>
      </c>
      <c r="F282" s="7">
        <f>SUMIFS('Лист2'!D:D, 'Лист2'!A:A, A282, 'Лист2'!B:B, B282)</f>
        <v>1823</v>
      </c>
      <c r="G282" s="7">
        <f>SUMIFS('Лист2'!E:E, 'Лист2'!A:A, A282, 'Лист2'!B:B, B282)</f>
        <v>1678</v>
      </c>
      <c r="H282" s="8">
        <f t="shared" si="1"/>
        <v>132671.5263</v>
      </c>
      <c r="I282" s="8">
        <f t="shared" si="2"/>
        <v>21</v>
      </c>
    </row>
    <row r="283" ht="14.25" customHeight="1">
      <c r="A283" s="9">
        <v>43956.0</v>
      </c>
      <c r="B283" s="10" t="s">
        <v>20</v>
      </c>
      <c r="C283" s="10">
        <v>26367.0</v>
      </c>
      <c r="D283" s="10">
        <v>2380333.5</v>
      </c>
      <c r="E283" s="7">
        <f>SUMIFS('Лист2'!C:C, 'Лист2'!A:A, A283, 'Лист2'!B:B, B283)</f>
        <v>19</v>
      </c>
      <c r="F283" s="7">
        <f>SUMIFS('Лист2'!D:D, 'Лист2'!A:A, A283, 'Лист2'!B:B, B283)</f>
        <v>1622</v>
      </c>
      <c r="G283" s="7">
        <f>SUMIFS('Лист2'!E:E, 'Лист2'!A:A, A283, 'Лист2'!B:B, B283)</f>
        <v>1482</v>
      </c>
      <c r="H283" s="8">
        <f t="shared" si="1"/>
        <v>125280.7105</v>
      </c>
      <c r="I283" s="8">
        <f t="shared" si="2"/>
        <v>19</v>
      </c>
    </row>
    <row r="284" ht="14.25" customHeight="1">
      <c r="A284" s="5">
        <v>43964.0</v>
      </c>
      <c r="B284" s="6" t="s">
        <v>20</v>
      </c>
      <c r="C284" s="6">
        <v>25539.0</v>
      </c>
      <c r="D284" s="6">
        <v>2263651.5</v>
      </c>
      <c r="E284" s="7">
        <f>SUMIFS('Лист2'!C:C, 'Лист2'!A:A, A284, 'Лист2'!B:B, B284)</f>
        <v>19</v>
      </c>
      <c r="F284" s="7">
        <f>SUMIFS('Лист2'!D:D, 'Лист2'!A:A, A284, 'Лист2'!B:B, B284)</f>
        <v>1605</v>
      </c>
      <c r="G284" s="7">
        <f>SUMIFS('Лист2'!E:E, 'Лист2'!A:A, A284, 'Лист2'!B:B, B284)</f>
        <v>1447</v>
      </c>
      <c r="H284" s="8">
        <f t="shared" si="1"/>
        <v>119139.5526</v>
      </c>
      <c r="I284" s="8">
        <f t="shared" si="2"/>
        <v>20</v>
      </c>
    </row>
    <row r="285" ht="14.25" customHeight="1">
      <c r="A285" s="9">
        <v>43982.0</v>
      </c>
      <c r="B285" s="10" t="s">
        <v>19</v>
      </c>
      <c r="C285" s="10">
        <v>14808.0</v>
      </c>
      <c r="D285" s="10">
        <v>1336789.5</v>
      </c>
      <c r="E285" s="7">
        <f>SUMIFS('Лист2'!C:C, 'Лист2'!A:A, A285, 'Лист2'!B:B, B285)</f>
        <v>16</v>
      </c>
      <c r="F285" s="7">
        <f>SUMIFS('Лист2'!D:D, 'Лист2'!A:A, A285, 'Лист2'!B:B, B285)</f>
        <v>917</v>
      </c>
      <c r="G285" s="7">
        <f>SUMIFS('Лист2'!E:E, 'Лист2'!A:A, A285, 'Лист2'!B:B, B285)</f>
        <v>802</v>
      </c>
      <c r="H285" s="8">
        <f t="shared" si="1"/>
        <v>83549.34375</v>
      </c>
      <c r="I285" s="8">
        <f t="shared" si="2"/>
        <v>22</v>
      </c>
    </row>
    <row r="286" ht="14.25" customHeight="1">
      <c r="A286" s="5">
        <v>43954.0</v>
      </c>
      <c r="B286" s="6" t="s">
        <v>20</v>
      </c>
      <c r="C286" s="6">
        <v>21343.5</v>
      </c>
      <c r="D286" s="6">
        <v>1906557.0</v>
      </c>
      <c r="E286" s="7">
        <f>SUMIFS('Лист2'!C:C, 'Лист2'!A:A, A286, 'Лист2'!B:B, B286)</f>
        <v>19</v>
      </c>
      <c r="F286" s="7">
        <f>SUMIFS('Лист2'!D:D, 'Лист2'!A:A, A286, 'Лист2'!B:B, B286)</f>
        <v>1314</v>
      </c>
      <c r="G286" s="7">
        <f>SUMIFS('Лист2'!E:E, 'Лист2'!A:A, A286, 'Лист2'!B:B, B286)</f>
        <v>1192</v>
      </c>
      <c r="H286" s="8">
        <f t="shared" si="1"/>
        <v>100345.1053</v>
      </c>
      <c r="I286" s="8">
        <f t="shared" si="2"/>
        <v>18</v>
      </c>
    </row>
    <row r="287" ht="14.25" customHeight="1">
      <c r="A287" s="9">
        <v>43981.0</v>
      </c>
      <c r="B287" s="10" t="s">
        <v>19</v>
      </c>
      <c r="C287" s="10">
        <v>17946.0</v>
      </c>
      <c r="D287" s="10">
        <v>1609090.5</v>
      </c>
      <c r="E287" s="7">
        <f>SUMIFS('Лист2'!C:C, 'Лист2'!A:A, A287, 'Лист2'!B:B, B287)</f>
        <v>16</v>
      </c>
      <c r="F287" s="7">
        <f>SUMIFS('Лист2'!D:D, 'Лист2'!A:A, A287, 'Лист2'!B:B, B287)</f>
        <v>1048</v>
      </c>
      <c r="G287" s="7">
        <f>SUMIFS('Лист2'!E:E, 'Лист2'!A:A, A287, 'Лист2'!B:B, B287)</f>
        <v>918</v>
      </c>
      <c r="H287" s="8">
        <f t="shared" si="1"/>
        <v>100568.1563</v>
      </c>
      <c r="I287" s="8">
        <f t="shared" si="2"/>
        <v>22</v>
      </c>
    </row>
    <row r="288" ht="14.25" customHeight="1">
      <c r="A288" s="5">
        <v>43957.0</v>
      </c>
      <c r="B288" s="6" t="s">
        <v>20</v>
      </c>
      <c r="C288" s="6">
        <v>24337.5</v>
      </c>
      <c r="D288" s="6">
        <v>2159350.5</v>
      </c>
      <c r="E288" s="7">
        <f>SUMIFS('Лист2'!C:C, 'Лист2'!A:A, A288, 'Лист2'!B:B, B288)</f>
        <v>19</v>
      </c>
      <c r="F288" s="7">
        <f>SUMIFS('Лист2'!D:D, 'Лист2'!A:A, A288, 'Лист2'!B:B, B288)</f>
        <v>1509</v>
      </c>
      <c r="G288" s="7">
        <f>SUMIFS('Лист2'!E:E, 'Лист2'!A:A, A288, 'Лист2'!B:B, B288)</f>
        <v>1374</v>
      </c>
      <c r="H288" s="8">
        <f t="shared" si="1"/>
        <v>113650.0263</v>
      </c>
      <c r="I288" s="8">
        <f t="shared" si="2"/>
        <v>19</v>
      </c>
    </row>
    <row r="289" ht="14.25" customHeight="1">
      <c r="A289" s="9">
        <v>43974.0</v>
      </c>
      <c r="B289" s="10" t="s">
        <v>20</v>
      </c>
      <c r="C289" s="10">
        <v>36997.5</v>
      </c>
      <c r="D289" s="10">
        <v>3089140.5</v>
      </c>
      <c r="E289" s="7">
        <f>SUMIFS('Лист2'!C:C, 'Лист2'!A:A, A289, 'Лист2'!B:B, B289)</f>
        <v>19</v>
      </c>
      <c r="F289" s="7">
        <f>SUMIFS('Лист2'!D:D, 'Лист2'!A:A, A289, 'Лист2'!B:B, B289)</f>
        <v>2195</v>
      </c>
      <c r="G289" s="7">
        <f>SUMIFS('Лист2'!E:E, 'Лист2'!A:A, A289, 'Лист2'!B:B, B289)</f>
        <v>1999</v>
      </c>
      <c r="H289" s="8">
        <f t="shared" si="1"/>
        <v>162586.3421</v>
      </c>
      <c r="I289" s="8">
        <f t="shared" si="2"/>
        <v>21</v>
      </c>
    </row>
    <row r="290" ht="14.25" customHeight="1">
      <c r="A290" s="5">
        <v>43979.0</v>
      </c>
      <c r="B290" s="6" t="s">
        <v>19</v>
      </c>
      <c r="C290" s="6">
        <v>13864.5</v>
      </c>
      <c r="D290" s="6">
        <v>1239747.0</v>
      </c>
      <c r="E290" s="7">
        <f>SUMIFS('Лист2'!C:C, 'Лист2'!A:A, A290, 'Лист2'!B:B, B290)</f>
        <v>16</v>
      </c>
      <c r="F290" s="7">
        <f>SUMIFS('Лист2'!D:D, 'Лист2'!A:A, A290, 'Лист2'!B:B, B290)</f>
        <v>876</v>
      </c>
      <c r="G290" s="7">
        <f>SUMIFS('Лист2'!E:E, 'Лист2'!A:A, A290, 'Лист2'!B:B, B290)</f>
        <v>762</v>
      </c>
      <c r="H290" s="8">
        <f t="shared" si="1"/>
        <v>77484.1875</v>
      </c>
      <c r="I290" s="8">
        <f t="shared" si="2"/>
        <v>22</v>
      </c>
    </row>
    <row r="291" ht="14.25" customHeight="1">
      <c r="A291" s="9">
        <v>43976.0</v>
      </c>
      <c r="B291" s="10" t="s">
        <v>20</v>
      </c>
      <c r="C291" s="10">
        <v>28494.0</v>
      </c>
      <c r="D291" s="10">
        <v>2512803.0</v>
      </c>
      <c r="E291" s="7">
        <f>SUMIFS('Лист2'!C:C, 'Лист2'!A:A, A291, 'Лист2'!B:B, B291)</f>
        <v>20</v>
      </c>
      <c r="F291" s="7">
        <f>SUMIFS('Лист2'!D:D, 'Лист2'!A:A, A291, 'Лист2'!B:B, B291)</f>
        <v>1899</v>
      </c>
      <c r="G291" s="7">
        <f>SUMIFS('Лист2'!E:E, 'Лист2'!A:A, A291, 'Лист2'!B:B, B291)</f>
        <v>1738</v>
      </c>
      <c r="H291" s="8">
        <f t="shared" si="1"/>
        <v>125640.15</v>
      </c>
      <c r="I291" s="8">
        <f t="shared" si="2"/>
        <v>22</v>
      </c>
    </row>
    <row r="292" ht="14.25" customHeight="1">
      <c r="A292" s="5">
        <v>43951.0</v>
      </c>
      <c r="B292" s="6" t="s">
        <v>20</v>
      </c>
      <c r="C292" s="6">
        <v>27883.5</v>
      </c>
      <c r="D292" s="6">
        <v>2560080.0</v>
      </c>
      <c r="E292" s="7">
        <f>SUMIFS('Лист2'!C:C, 'Лист2'!A:A, A292, 'Лист2'!B:B, B292)</f>
        <v>19</v>
      </c>
      <c r="F292" s="7">
        <f>SUMIFS('Лист2'!D:D, 'Лист2'!A:A, A292, 'Лист2'!B:B, B292)</f>
        <v>1662</v>
      </c>
      <c r="G292" s="7">
        <f>SUMIFS('Лист2'!E:E, 'Лист2'!A:A, A292, 'Лист2'!B:B, B292)</f>
        <v>1506</v>
      </c>
      <c r="H292" s="8">
        <f t="shared" si="1"/>
        <v>134741.0526</v>
      </c>
      <c r="I292" s="8">
        <f t="shared" si="2"/>
        <v>18</v>
      </c>
    </row>
    <row r="293" ht="14.25" customHeight="1">
      <c r="A293" s="9">
        <v>43961.0</v>
      </c>
      <c r="B293" s="10" t="s">
        <v>20</v>
      </c>
      <c r="C293" s="10">
        <v>31224.0</v>
      </c>
      <c r="D293" s="10">
        <v>2767270.5</v>
      </c>
      <c r="E293" s="7">
        <f>SUMIFS('Лист2'!C:C, 'Лист2'!A:A, A293, 'Лист2'!B:B, B293)</f>
        <v>19</v>
      </c>
      <c r="F293" s="7">
        <f>SUMIFS('Лист2'!D:D, 'Лист2'!A:A, A293, 'Лист2'!B:B, B293)</f>
        <v>1836</v>
      </c>
      <c r="G293" s="7">
        <f>SUMIFS('Лист2'!E:E, 'Лист2'!A:A, A293, 'Лист2'!B:B, B293)</f>
        <v>1680</v>
      </c>
      <c r="H293" s="8">
        <f t="shared" si="1"/>
        <v>145645.8158</v>
      </c>
      <c r="I293" s="8">
        <f t="shared" si="2"/>
        <v>19</v>
      </c>
    </row>
    <row r="294" ht="14.25" customHeight="1">
      <c r="A294" s="5">
        <v>43959.0</v>
      </c>
      <c r="B294" s="6" t="s">
        <v>20</v>
      </c>
      <c r="C294" s="6">
        <v>25020.0</v>
      </c>
      <c r="D294" s="6">
        <v>2235960.0</v>
      </c>
      <c r="E294" s="7">
        <f>SUMIFS('Лист2'!C:C, 'Лист2'!A:A, A294, 'Лист2'!B:B, B294)</f>
        <v>19</v>
      </c>
      <c r="F294" s="7">
        <f>SUMIFS('Лист2'!D:D, 'Лист2'!A:A, A294, 'Лист2'!B:B, B294)</f>
        <v>1520</v>
      </c>
      <c r="G294" s="7">
        <f>SUMIFS('Лист2'!E:E, 'Лист2'!A:A, A294, 'Лист2'!B:B, B294)</f>
        <v>1380</v>
      </c>
      <c r="H294" s="8">
        <f t="shared" si="1"/>
        <v>117682.1053</v>
      </c>
      <c r="I294" s="8">
        <f t="shared" si="2"/>
        <v>19</v>
      </c>
    </row>
    <row r="295" ht="14.25" customHeight="1">
      <c r="A295" s="9">
        <v>43958.0</v>
      </c>
      <c r="B295" s="10" t="s">
        <v>20</v>
      </c>
      <c r="C295" s="10">
        <v>26184.0</v>
      </c>
      <c r="D295" s="10">
        <v>2308336.5</v>
      </c>
      <c r="E295" s="7">
        <f>SUMIFS('Лист2'!C:C, 'Лист2'!A:A, A295, 'Лист2'!B:B, B295)</f>
        <v>19</v>
      </c>
      <c r="F295" s="7">
        <f>SUMIFS('Лист2'!D:D, 'Лист2'!A:A, A295, 'Лист2'!B:B, B295)</f>
        <v>1580</v>
      </c>
      <c r="G295" s="7">
        <f>SUMIFS('Лист2'!E:E, 'Лист2'!A:A, A295, 'Лист2'!B:B, B295)</f>
        <v>1435</v>
      </c>
      <c r="H295" s="8">
        <f t="shared" si="1"/>
        <v>121491.3947</v>
      </c>
      <c r="I295" s="8">
        <f t="shared" si="2"/>
        <v>19</v>
      </c>
    </row>
    <row r="296" ht="14.25" customHeight="1">
      <c r="A296" s="5">
        <v>43975.0</v>
      </c>
      <c r="B296" s="6" t="s">
        <v>20</v>
      </c>
      <c r="C296" s="6">
        <v>29824.5</v>
      </c>
      <c r="D296" s="6">
        <v>2526909.0</v>
      </c>
      <c r="E296" s="7">
        <f>SUMIFS('Лист2'!C:C, 'Лист2'!A:A, A296, 'Лист2'!B:B, B296)</f>
        <v>19</v>
      </c>
      <c r="F296" s="7">
        <f>SUMIFS('Лист2'!D:D, 'Лист2'!A:A, A296, 'Лист2'!B:B, B296)</f>
        <v>1868</v>
      </c>
      <c r="G296" s="7">
        <f>SUMIFS('Лист2'!E:E, 'Лист2'!A:A, A296, 'Лист2'!B:B, B296)</f>
        <v>1706</v>
      </c>
      <c r="H296" s="8">
        <f t="shared" si="1"/>
        <v>132995.2105</v>
      </c>
      <c r="I296" s="8">
        <f t="shared" si="2"/>
        <v>21</v>
      </c>
    </row>
    <row r="297" ht="14.25" customHeight="1">
      <c r="A297" s="9">
        <v>43950.0</v>
      </c>
      <c r="B297" s="10" t="s">
        <v>21</v>
      </c>
      <c r="C297" s="10">
        <v>208351.5</v>
      </c>
      <c r="D297" s="10">
        <v>2.1615333E7</v>
      </c>
      <c r="E297" s="7">
        <f>SUMIFS('Лист2'!C:C, 'Лист2'!A:A, A297, 'Лист2'!B:B, B297)</f>
        <v>59</v>
      </c>
      <c r="F297" s="7">
        <f>SUMIFS('Лист2'!D:D, 'Лист2'!A:A, A297, 'Лист2'!B:B, B297)</f>
        <v>13186</v>
      </c>
      <c r="G297" s="7">
        <f>SUMIFS('Лист2'!E:E, 'Лист2'!A:A, A297, 'Лист2'!B:B, B297)</f>
        <v>12251</v>
      </c>
      <c r="H297" s="8">
        <f t="shared" si="1"/>
        <v>366361.5763</v>
      </c>
      <c r="I297" s="8">
        <f t="shared" si="2"/>
        <v>18</v>
      </c>
    </row>
    <row r="298" ht="14.25" customHeight="1">
      <c r="A298" s="5">
        <v>43949.0</v>
      </c>
      <c r="B298" s="6" t="s">
        <v>21</v>
      </c>
      <c r="C298" s="6">
        <v>204637.5</v>
      </c>
      <c r="D298" s="6">
        <v>2.11148985E7</v>
      </c>
      <c r="E298" s="7">
        <f>SUMIFS('Лист2'!C:C, 'Лист2'!A:A, A298, 'Лист2'!B:B, B298)</f>
        <v>59</v>
      </c>
      <c r="F298" s="7">
        <f>SUMIFS('Лист2'!D:D, 'Лист2'!A:A, A298, 'Лист2'!B:B, B298)</f>
        <v>12943</v>
      </c>
      <c r="G298" s="7">
        <f>SUMIFS('Лист2'!E:E, 'Лист2'!A:A, A298, 'Лист2'!B:B, B298)</f>
        <v>12072</v>
      </c>
      <c r="H298" s="8">
        <f t="shared" si="1"/>
        <v>357879.6356</v>
      </c>
      <c r="I298" s="8">
        <f t="shared" si="2"/>
        <v>18</v>
      </c>
    </row>
    <row r="299" ht="14.25" customHeight="1">
      <c r="A299" s="9">
        <v>43982.0</v>
      </c>
      <c r="B299" s="10" t="s">
        <v>20</v>
      </c>
      <c r="C299" s="10">
        <v>31372.5</v>
      </c>
      <c r="D299" s="10">
        <v>2794324.5</v>
      </c>
      <c r="E299" s="7">
        <f>SUMIFS('Лист2'!C:C, 'Лист2'!A:A, A299, 'Лист2'!B:B, B299)</f>
        <v>21</v>
      </c>
      <c r="F299" s="7">
        <f>SUMIFS('Лист2'!D:D, 'Лист2'!A:A, A299, 'Лист2'!B:B, B299)</f>
        <v>2056</v>
      </c>
      <c r="G299" s="7">
        <f>SUMIFS('Лист2'!E:E, 'Лист2'!A:A, A299, 'Лист2'!B:B, B299)</f>
        <v>1879</v>
      </c>
      <c r="H299" s="8">
        <f t="shared" si="1"/>
        <v>133063.0714</v>
      </c>
      <c r="I299" s="8">
        <f t="shared" si="2"/>
        <v>22</v>
      </c>
    </row>
    <row r="300" ht="14.25" customHeight="1">
      <c r="A300" s="5">
        <v>43981.0</v>
      </c>
      <c r="B300" s="6" t="s">
        <v>20</v>
      </c>
      <c r="C300" s="6">
        <v>34681.5</v>
      </c>
      <c r="D300" s="6">
        <v>3005334.0</v>
      </c>
      <c r="E300" s="7">
        <f>SUMIFS('Лист2'!C:C, 'Лист2'!A:A, A300, 'Лист2'!B:B, B300)</f>
        <v>20</v>
      </c>
      <c r="F300" s="7">
        <f>SUMIFS('Лист2'!D:D, 'Лист2'!A:A, A300, 'Лист2'!B:B, B300)</f>
        <v>2174</v>
      </c>
      <c r="G300" s="7">
        <f>SUMIFS('Лист2'!E:E, 'Лист2'!A:A, A300, 'Лист2'!B:B, B300)</f>
        <v>1957</v>
      </c>
      <c r="H300" s="8">
        <f t="shared" si="1"/>
        <v>150266.7</v>
      </c>
      <c r="I300" s="8">
        <f t="shared" si="2"/>
        <v>22</v>
      </c>
    </row>
    <row r="301" ht="14.25" customHeight="1">
      <c r="A301" s="9">
        <v>43979.0</v>
      </c>
      <c r="B301" s="10" t="s">
        <v>20</v>
      </c>
      <c r="C301" s="10">
        <v>28197.0</v>
      </c>
      <c r="D301" s="10">
        <v>2559211.5</v>
      </c>
      <c r="E301" s="7">
        <f>SUMIFS('Лист2'!C:C, 'Лист2'!A:A, A301, 'Лист2'!B:B, B301)</f>
        <v>20</v>
      </c>
      <c r="F301" s="7">
        <f>SUMIFS('Лист2'!D:D, 'Лист2'!A:A, A301, 'Лист2'!B:B, B301)</f>
        <v>1875</v>
      </c>
      <c r="G301" s="7">
        <f>SUMIFS('Лист2'!E:E, 'Лист2'!A:A, A301, 'Лист2'!B:B, B301)</f>
        <v>1701</v>
      </c>
      <c r="H301" s="8">
        <f t="shared" si="1"/>
        <v>127960.575</v>
      </c>
      <c r="I301" s="8">
        <f t="shared" si="2"/>
        <v>22</v>
      </c>
    </row>
    <row r="302" ht="14.25" customHeight="1">
      <c r="A302" s="5">
        <v>43967.0</v>
      </c>
      <c r="B302" s="6" t="s">
        <v>21</v>
      </c>
      <c r="C302" s="6">
        <v>236551.5</v>
      </c>
      <c r="D302" s="6">
        <v>2.3689383E7</v>
      </c>
      <c r="E302" s="7">
        <f>SUMIFS('Лист2'!C:C, 'Лист2'!A:A, A302, 'Лист2'!B:B, B302)</f>
        <v>60</v>
      </c>
      <c r="F302" s="7">
        <f>SUMIFS('Лист2'!D:D, 'Лист2'!A:A, A302, 'Лист2'!B:B, B302)</f>
        <v>14049</v>
      </c>
      <c r="G302" s="7">
        <f>SUMIFS('Лист2'!E:E, 'Лист2'!A:A, A302, 'Лист2'!B:B, B302)</f>
        <v>13118</v>
      </c>
      <c r="H302" s="8">
        <f t="shared" si="1"/>
        <v>394823.05</v>
      </c>
      <c r="I302" s="8">
        <f t="shared" si="2"/>
        <v>20</v>
      </c>
    </row>
    <row r="303" ht="14.25" customHeight="1">
      <c r="A303" s="9">
        <v>43970.0</v>
      </c>
      <c r="B303" s="10" t="s">
        <v>21</v>
      </c>
      <c r="C303" s="10">
        <v>223597.5</v>
      </c>
      <c r="D303" s="10">
        <v>2.1945858E7</v>
      </c>
      <c r="E303" s="7">
        <f>SUMIFS('Лист2'!C:C, 'Лист2'!A:A, A303, 'Лист2'!B:B, B303)</f>
        <v>60</v>
      </c>
      <c r="F303" s="7">
        <f>SUMIFS('Лист2'!D:D, 'Лист2'!A:A, A303, 'Лист2'!B:B, B303)</f>
        <v>13867</v>
      </c>
      <c r="G303" s="7">
        <f>SUMIFS('Лист2'!E:E, 'Лист2'!A:A, A303, 'Лист2'!B:B, B303)</f>
        <v>12987</v>
      </c>
      <c r="H303" s="8">
        <f t="shared" si="1"/>
        <v>365764.3</v>
      </c>
      <c r="I303" s="8">
        <f t="shared" si="2"/>
        <v>21</v>
      </c>
    </row>
    <row r="304" ht="14.25" customHeight="1">
      <c r="A304" s="5">
        <v>43968.0</v>
      </c>
      <c r="B304" s="6" t="s">
        <v>21</v>
      </c>
      <c r="C304" s="6">
        <v>193363.5</v>
      </c>
      <c r="D304" s="6">
        <v>1.9546386E7</v>
      </c>
      <c r="E304" s="7">
        <f>SUMIFS('Лист2'!C:C, 'Лист2'!A:A, A304, 'Лист2'!B:B, B304)</f>
        <v>60</v>
      </c>
      <c r="F304" s="7">
        <f>SUMIFS('Лист2'!D:D, 'Лист2'!A:A, A304, 'Лист2'!B:B, B304)</f>
        <v>11698</v>
      </c>
      <c r="G304" s="7">
        <f>SUMIFS('Лист2'!E:E, 'Лист2'!A:A, A304, 'Лист2'!B:B, B304)</f>
        <v>10989</v>
      </c>
      <c r="H304" s="8">
        <f t="shared" si="1"/>
        <v>325773.1</v>
      </c>
      <c r="I304" s="8">
        <f t="shared" si="2"/>
        <v>20</v>
      </c>
    </row>
    <row r="305" ht="14.25" customHeight="1">
      <c r="A305" s="9">
        <v>43960.0</v>
      </c>
      <c r="B305" s="10" t="s">
        <v>21</v>
      </c>
      <c r="C305" s="10">
        <v>188319.0</v>
      </c>
      <c r="D305" s="10">
        <v>1.92186315E7</v>
      </c>
      <c r="E305" s="7">
        <f>SUMIFS('Лист2'!C:C, 'Лист2'!A:A, A305, 'Лист2'!B:B, B305)</f>
        <v>59</v>
      </c>
      <c r="F305" s="7">
        <f>SUMIFS('Лист2'!D:D, 'Лист2'!A:A, A305, 'Лист2'!B:B, B305)</f>
        <v>12016</v>
      </c>
      <c r="G305" s="7">
        <f>SUMIFS('Лист2'!E:E, 'Лист2'!A:A, A305, 'Лист2'!B:B, B305)</f>
        <v>11137</v>
      </c>
      <c r="H305" s="8">
        <f t="shared" si="1"/>
        <v>325739.5169</v>
      </c>
      <c r="I305" s="8">
        <f t="shared" si="2"/>
        <v>19</v>
      </c>
    </row>
    <row r="306" ht="14.25" customHeight="1">
      <c r="A306" s="5">
        <v>43955.0</v>
      </c>
      <c r="B306" s="6" t="s">
        <v>21</v>
      </c>
      <c r="C306" s="6">
        <v>237544.5</v>
      </c>
      <c r="D306" s="6">
        <v>2.4292218E7</v>
      </c>
      <c r="E306" s="7">
        <f>SUMIFS('Лист2'!C:C, 'Лист2'!A:A, A306, 'Лист2'!B:B, B306)</f>
        <v>59</v>
      </c>
      <c r="F306" s="7">
        <f>SUMIFS('Лист2'!D:D, 'Лист2'!A:A, A306, 'Лист2'!B:B, B306)</f>
        <v>14423</v>
      </c>
      <c r="G306" s="7">
        <f>SUMIFS('Лист2'!E:E, 'Лист2'!A:A, A306, 'Лист2'!B:B, B306)</f>
        <v>13432</v>
      </c>
      <c r="H306" s="8">
        <f t="shared" si="1"/>
        <v>411732.5085</v>
      </c>
      <c r="I306" s="8">
        <f t="shared" si="2"/>
        <v>19</v>
      </c>
    </row>
    <row r="307" ht="14.25" customHeight="1">
      <c r="A307" s="9">
        <v>43950.0</v>
      </c>
      <c r="B307" s="10" t="s">
        <v>22</v>
      </c>
      <c r="C307" s="10">
        <v>203209.5</v>
      </c>
      <c r="D307" s="10">
        <v>2.08713915E7</v>
      </c>
      <c r="E307" s="7">
        <f>SUMIFS('Лист2'!C:C, 'Лист2'!A:A, A307, 'Лист2'!B:B, B307)</f>
        <v>54</v>
      </c>
      <c r="F307" s="7">
        <f>SUMIFS('Лист2'!D:D, 'Лист2'!A:A, A307, 'Лист2'!B:B, B307)</f>
        <v>12747</v>
      </c>
      <c r="G307" s="7">
        <f>SUMIFS('Лист2'!E:E, 'Лист2'!A:A, A307, 'Лист2'!B:B, B307)</f>
        <v>11884</v>
      </c>
      <c r="H307" s="8">
        <f t="shared" si="1"/>
        <v>386507.25</v>
      </c>
      <c r="I307" s="8">
        <f t="shared" si="2"/>
        <v>18</v>
      </c>
    </row>
    <row r="308" ht="14.25" customHeight="1">
      <c r="A308" s="5">
        <v>43953.0</v>
      </c>
      <c r="B308" s="6" t="s">
        <v>21</v>
      </c>
      <c r="C308" s="6">
        <v>185979.0</v>
      </c>
      <c r="D308" s="6">
        <v>1.9625364E7</v>
      </c>
      <c r="E308" s="7">
        <f>SUMIFS('Лист2'!C:C, 'Лист2'!A:A, A308, 'Лист2'!B:B, B308)</f>
        <v>59</v>
      </c>
      <c r="F308" s="7">
        <f>SUMIFS('Лист2'!D:D, 'Лист2'!A:A, A308, 'Лист2'!B:B, B308)</f>
        <v>12429</v>
      </c>
      <c r="G308" s="7">
        <f>SUMIFS('Лист2'!E:E, 'Лист2'!A:A, A308, 'Лист2'!B:B, B308)</f>
        <v>11477</v>
      </c>
      <c r="H308" s="8">
        <f t="shared" si="1"/>
        <v>332633.2881</v>
      </c>
      <c r="I308" s="8">
        <f t="shared" si="2"/>
        <v>18</v>
      </c>
    </row>
    <row r="309" ht="14.25" customHeight="1">
      <c r="A309" s="9">
        <v>43977.0</v>
      </c>
      <c r="B309" s="10" t="s">
        <v>21</v>
      </c>
      <c r="C309" s="10">
        <v>244905.0</v>
      </c>
      <c r="D309" s="10">
        <v>2.51634315E7</v>
      </c>
      <c r="E309" s="7">
        <f>SUMIFS('Лист2'!C:C, 'Лист2'!A:A, A309, 'Лист2'!B:B, B309)</f>
        <v>59</v>
      </c>
      <c r="F309" s="7">
        <f>SUMIFS('Лист2'!D:D, 'Лист2'!A:A, A309, 'Лист2'!B:B, B309)</f>
        <v>15369</v>
      </c>
      <c r="G309" s="7">
        <f>SUMIFS('Лист2'!E:E, 'Лист2'!A:A, A309, 'Лист2'!B:B, B309)</f>
        <v>14299</v>
      </c>
      <c r="H309" s="8">
        <f t="shared" si="1"/>
        <v>426498.839</v>
      </c>
      <c r="I309" s="8">
        <f t="shared" si="2"/>
        <v>22</v>
      </c>
    </row>
    <row r="310" ht="14.25" customHeight="1">
      <c r="A310" s="5">
        <v>43952.0</v>
      </c>
      <c r="B310" s="6" t="s">
        <v>21</v>
      </c>
      <c r="C310" s="6">
        <v>239409.0</v>
      </c>
      <c r="D310" s="6">
        <v>2.5413351E7</v>
      </c>
      <c r="E310" s="7">
        <f>SUMIFS('Лист2'!C:C, 'Лист2'!A:A, A310, 'Лист2'!B:B, B310)</f>
        <v>59</v>
      </c>
      <c r="F310" s="7">
        <f>SUMIFS('Лист2'!D:D, 'Лист2'!A:A, A310, 'Лист2'!B:B, B310)</f>
        <v>15222</v>
      </c>
      <c r="G310" s="7">
        <f>SUMIFS('Лист2'!E:E, 'Лист2'!A:A, A310, 'Лист2'!B:B, B310)</f>
        <v>13873</v>
      </c>
      <c r="H310" s="8">
        <f t="shared" si="1"/>
        <v>430734.7627</v>
      </c>
      <c r="I310" s="8">
        <f t="shared" si="2"/>
        <v>18</v>
      </c>
    </row>
    <row r="311" ht="14.25" customHeight="1">
      <c r="A311" s="9">
        <v>43963.0</v>
      </c>
      <c r="B311" s="10" t="s">
        <v>21</v>
      </c>
      <c r="C311" s="10">
        <v>192886.5</v>
      </c>
      <c r="D311" s="10">
        <v>1.92051795E7</v>
      </c>
      <c r="E311" s="7">
        <f>SUMIFS('Лист2'!C:C, 'Лист2'!A:A, A311, 'Лист2'!B:B, B311)</f>
        <v>60</v>
      </c>
      <c r="F311" s="7">
        <f>SUMIFS('Лист2'!D:D, 'Лист2'!A:A, A311, 'Лист2'!B:B, B311)</f>
        <v>12000</v>
      </c>
      <c r="G311" s="7">
        <f>SUMIFS('Лист2'!E:E, 'Лист2'!A:A, A311, 'Лист2'!B:B, B311)</f>
        <v>11194</v>
      </c>
      <c r="H311" s="8">
        <f t="shared" si="1"/>
        <v>320086.325</v>
      </c>
      <c r="I311" s="8">
        <f t="shared" si="2"/>
        <v>20</v>
      </c>
    </row>
    <row r="312" ht="14.25" customHeight="1">
      <c r="A312" s="5">
        <v>43972.0</v>
      </c>
      <c r="B312" s="6" t="s">
        <v>21</v>
      </c>
      <c r="C312" s="6">
        <v>224233.5</v>
      </c>
      <c r="D312" s="6">
        <v>2.2253295E7</v>
      </c>
      <c r="E312" s="7">
        <f>SUMIFS('Лист2'!C:C, 'Лист2'!A:A, A312, 'Лист2'!B:B, B312)</f>
        <v>60</v>
      </c>
      <c r="F312" s="7">
        <f>SUMIFS('Лист2'!D:D, 'Лист2'!A:A, A312, 'Лист2'!B:B, B312)</f>
        <v>14005</v>
      </c>
      <c r="G312" s="7">
        <f>SUMIFS('Лист2'!E:E, 'Лист2'!A:A, A312, 'Лист2'!B:B, B312)</f>
        <v>13002</v>
      </c>
      <c r="H312" s="8">
        <f t="shared" si="1"/>
        <v>370888.25</v>
      </c>
      <c r="I312" s="8">
        <f t="shared" si="2"/>
        <v>21</v>
      </c>
    </row>
    <row r="313" ht="14.25" customHeight="1">
      <c r="A313" s="9">
        <v>43971.0</v>
      </c>
      <c r="B313" s="10" t="s">
        <v>21</v>
      </c>
      <c r="C313" s="10">
        <v>219622.5</v>
      </c>
      <c r="D313" s="10">
        <v>2.1959286E7</v>
      </c>
      <c r="E313" s="7">
        <f>SUMIFS('Лист2'!C:C, 'Лист2'!A:A, A313, 'Лист2'!B:B, B313)</f>
        <v>60</v>
      </c>
      <c r="F313" s="7">
        <f>SUMIFS('Лист2'!D:D, 'Лист2'!A:A, A313, 'Лист2'!B:B, B313)</f>
        <v>13792</v>
      </c>
      <c r="G313" s="7">
        <f>SUMIFS('Лист2'!E:E, 'Лист2'!A:A, A313, 'Лист2'!B:B, B313)</f>
        <v>12834</v>
      </c>
      <c r="H313" s="8">
        <f t="shared" si="1"/>
        <v>365988.1</v>
      </c>
      <c r="I313" s="8">
        <f t="shared" si="2"/>
        <v>21</v>
      </c>
    </row>
    <row r="314" ht="14.25" customHeight="1">
      <c r="A314" s="5">
        <v>43956.0</v>
      </c>
      <c r="B314" s="6" t="s">
        <v>21</v>
      </c>
      <c r="C314" s="6">
        <v>213582.0</v>
      </c>
      <c r="D314" s="6">
        <v>2.19194355E7</v>
      </c>
      <c r="E314" s="7">
        <f>SUMIFS('Лист2'!C:C, 'Лист2'!A:A, A314, 'Лист2'!B:B, B314)</f>
        <v>59</v>
      </c>
      <c r="F314" s="7">
        <f>SUMIFS('Лист2'!D:D, 'Лист2'!A:A, A314, 'Лист2'!B:B, B314)</f>
        <v>13469</v>
      </c>
      <c r="G314" s="7">
        <f>SUMIFS('Лист2'!E:E, 'Лист2'!A:A, A314, 'Лист2'!B:B, B314)</f>
        <v>12486</v>
      </c>
      <c r="H314" s="8">
        <f t="shared" si="1"/>
        <v>371515.8559</v>
      </c>
      <c r="I314" s="8">
        <f t="shared" si="2"/>
        <v>19</v>
      </c>
    </row>
    <row r="315" ht="14.25" customHeight="1">
      <c r="A315" s="9">
        <v>43949.0</v>
      </c>
      <c r="B315" s="10" t="s">
        <v>22</v>
      </c>
      <c r="C315" s="10">
        <v>195705.0</v>
      </c>
      <c r="D315" s="10">
        <v>2.00032635E7</v>
      </c>
      <c r="E315" s="7">
        <f>SUMIFS('Лист2'!C:C, 'Лист2'!A:A, A315, 'Лист2'!B:B, B315)</f>
        <v>54</v>
      </c>
      <c r="F315" s="7">
        <f>SUMIFS('Лист2'!D:D, 'Лист2'!A:A, A315, 'Лист2'!B:B, B315)</f>
        <v>12306</v>
      </c>
      <c r="G315" s="7">
        <f>SUMIFS('Лист2'!E:E, 'Лист2'!A:A, A315, 'Лист2'!B:B, B315)</f>
        <v>11532</v>
      </c>
      <c r="H315" s="8">
        <f t="shared" si="1"/>
        <v>370430.8056</v>
      </c>
      <c r="I315" s="8">
        <f t="shared" si="2"/>
        <v>18</v>
      </c>
    </row>
    <row r="316" ht="14.25" customHeight="1">
      <c r="A316" s="5">
        <v>43964.0</v>
      </c>
      <c r="B316" s="6" t="s">
        <v>21</v>
      </c>
      <c r="C316" s="6">
        <v>193722.0</v>
      </c>
      <c r="D316" s="6">
        <v>1.9437273E7</v>
      </c>
      <c r="E316" s="7">
        <f>SUMIFS('Лист2'!C:C, 'Лист2'!A:A, A316, 'Лист2'!B:B, B316)</f>
        <v>60</v>
      </c>
      <c r="F316" s="7">
        <f>SUMIFS('Лист2'!D:D, 'Лист2'!A:A, A316, 'Лист2'!B:B, B316)</f>
        <v>12007</v>
      </c>
      <c r="G316" s="7">
        <f>SUMIFS('Лист2'!E:E, 'Лист2'!A:A, A316, 'Лист2'!B:B, B316)</f>
        <v>11245</v>
      </c>
      <c r="H316" s="8">
        <f t="shared" si="1"/>
        <v>323954.55</v>
      </c>
      <c r="I316" s="8">
        <f t="shared" si="2"/>
        <v>20</v>
      </c>
    </row>
    <row r="317" ht="14.25" customHeight="1">
      <c r="A317" s="9">
        <v>43954.0</v>
      </c>
      <c r="B317" s="10" t="s">
        <v>21</v>
      </c>
      <c r="C317" s="10">
        <v>257215.5</v>
      </c>
      <c r="D317" s="10">
        <v>2.64922785E7</v>
      </c>
      <c r="E317" s="7">
        <f>SUMIFS('Лист2'!C:C, 'Лист2'!A:A, A317, 'Лист2'!B:B, B317)</f>
        <v>59</v>
      </c>
      <c r="F317" s="7">
        <f>SUMIFS('Лист2'!D:D, 'Лист2'!A:A, A317, 'Лист2'!B:B, B317)</f>
        <v>15277</v>
      </c>
      <c r="G317" s="7">
        <f>SUMIFS('Лист2'!E:E, 'Лист2'!A:A, A317, 'Лист2'!B:B, B317)</f>
        <v>14163</v>
      </c>
      <c r="H317" s="8">
        <f t="shared" si="1"/>
        <v>449021.6695</v>
      </c>
      <c r="I317" s="8">
        <f t="shared" si="2"/>
        <v>18</v>
      </c>
    </row>
    <row r="318" ht="14.25" customHeight="1">
      <c r="A318" s="5">
        <v>43957.0</v>
      </c>
      <c r="B318" s="6" t="s">
        <v>21</v>
      </c>
      <c r="C318" s="6">
        <v>224779.5</v>
      </c>
      <c r="D318" s="6">
        <v>2.3032992E7</v>
      </c>
      <c r="E318" s="7">
        <f>SUMIFS('Лист2'!C:C, 'Лист2'!A:A, A318, 'Лист2'!B:B, B318)</f>
        <v>59</v>
      </c>
      <c r="F318" s="7">
        <f>SUMIFS('Лист2'!D:D, 'Лист2'!A:A, A318, 'Лист2'!B:B, B318)</f>
        <v>14103</v>
      </c>
      <c r="G318" s="7">
        <f>SUMIFS('Лист2'!E:E, 'Лист2'!A:A, A318, 'Лист2'!B:B, B318)</f>
        <v>13118</v>
      </c>
      <c r="H318" s="8">
        <f t="shared" si="1"/>
        <v>390389.6949</v>
      </c>
      <c r="I318" s="8">
        <f t="shared" si="2"/>
        <v>19</v>
      </c>
    </row>
    <row r="319" ht="14.25" customHeight="1">
      <c r="A319" s="9">
        <v>43974.0</v>
      </c>
      <c r="B319" s="10" t="s">
        <v>21</v>
      </c>
      <c r="C319" s="10">
        <v>292018.5</v>
      </c>
      <c r="D319" s="10">
        <v>2.85909105E7</v>
      </c>
      <c r="E319" s="7">
        <f>SUMIFS('Лист2'!C:C, 'Лист2'!A:A, A319, 'Лист2'!B:B, B319)</f>
        <v>60</v>
      </c>
      <c r="F319" s="7">
        <f>SUMIFS('Лист2'!D:D, 'Лист2'!A:A, A319, 'Лист2'!B:B, B319)</f>
        <v>17295</v>
      </c>
      <c r="G319" s="7">
        <f>SUMIFS('Лист2'!E:E, 'Лист2'!A:A, A319, 'Лист2'!B:B, B319)</f>
        <v>16010</v>
      </c>
      <c r="H319" s="8">
        <f t="shared" si="1"/>
        <v>476515.175</v>
      </c>
      <c r="I319" s="8">
        <f t="shared" si="2"/>
        <v>21</v>
      </c>
    </row>
    <row r="320" ht="14.25" customHeight="1">
      <c r="A320" s="5">
        <v>43976.0</v>
      </c>
      <c r="B320" s="6" t="s">
        <v>21</v>
      </c>
      <c r="C320" s="6">
        <v>198751.5</v>
      </c>
      <c r="D320" s="6">
        <v>2.05827435E7</v>
      </c>
      <c r="E320" s="7">
        <f>SUMIFS('Лист2'!C:C, 'Лист2'!A:A, A320, 'Лист2'!B:B, B320)</f>
        <v>59</v>
      </c>
      <c r="F320" s="7">
        <f>SUMIFS('Лист2'!D:D, 'Лист2'!A:A, A320, 'Лист2'!B:B, B320)</f>
        <v>12983</v>
      </c>
      <c r="G320" s="7">
        <f>SUMIFS('Лист2'!E:E, 'Лист2'!A:A, A320, 'Лист2'!B:B, B320)</f>
        <v>12056</v>
      </c>
      <c r="H320" s="8">
        <f t="shared" si="1"/>
        <v>348860.0593</v>
      </c>
      <c r="I320" s="8">
        <f t="shared" si="2"/>
        <v>22</v>
      </c>
    </row>
    <row r="321" ht="14.25" customHeight="1">
      <c r="A321" s="9">
        <v>43951.0</v>
      </c>
      <c r="B321" s="10" t="s">
        <v>21</v>
      </c>
      <c r="C321" s="10">
        <v>214386.0</v>
      </c>
      <c r="D321" s="10">
        <v>2.253E7</v>
      </c>
      <c r="E321" s="7">
        <f>SUMIFS('Лист2'!C:C, 'Лист2'!A:A, A321, 'Лист2'!B:B, B321)</f>
        <v>59</v>
      </c>
      <c r="F321" s="7">
        <f>SUMIFS('Лист2'!D:D, 'Лист2'!A:A, A321, 'Лист2'!B:B, B321)</f>
        <v>13251</v>
      </c>
      <c r="G321" s="7">
        <f>SUMIFS('Лист2'!E:E, 'Лист2'!A:A, A321, 'Лист2'!B:B, B321)</f>
        <v>12255</v>
      </c>
      <c r="H321" s="8">
        <f t="shared" si="1"/>
        <v>381864.4068</v>
      </c>
      <c r="I321" s="8">
        <f t="shared" si="2"/>
        <v>18</v>
      </c>
    </row>
    <row r="322" ht="14.25" customHeight="1">
      <c r="A322" s="5">
        <v>43961.0</v>
      </c>
      <c r="B322" s="6" t="s">
        <v>21</v>
      </c>
      <c r="C322" s="6">
        <v>243825.0</v>
      </c>
      <c r="D322" s="6">
        <v>2.48904045E7</v>
      </c>
      <c r="E322" s="7">
        <f>SUMIFS('Лист2'!C:C, 'Лист2'!A:A, A322, 'Лист2'!B:B, B322)</f>
        <v>59</v>
      </c>
      <c r="F322" s="7">
        <f>SUMIFS('Лист2'!D:D, 'Лист2'!A:A, A322, 'Лист2'!B:B, B322)</f>
        <v>14569</v>
      </c>
      <c r="G322" s="7">
        <f>SUMIFS('Лист2'!E:E, 'Лист2'!A:A, A322, 'Лист2'!B:B, B322)</f>
        <v>13566</v>
      </c>
      <c r="H322" s="8">
        <f t="shared" si="1"/>
        <v>421871.2627</v>
      </c>
      <c r="I322" s="8">
        <f t="shared" si="2"/>
        <v>19</v>
      </c>
    </row>
    <row r="323" ht="14.25" customHeight="1">
      <c r="A323" s="9">
        <v>43959.0</v>
      </c>
      <c r="B323" s="10" t="s">
        <v>21</v>
      </c>
      <c r="C323" s="10">
        <v>232701.0</v>
      </c>
      <c r="D323" s="10">
        <v>2.38819485E7</v>
      </c>
      <c r="E323" s="7">
        <f>SUMIFS('Лист2'!C:C, 'Лист2'!A:A, A323, 'Лист2'!B:B, B323)</f>
        <v>59</v>
      </c>
      <c r="F323" s="7">
        <f>SUMIFS('Лист2'!D:D, 'Лист2'!A:A, A323, 'Лист2'!B:B, B323)</f>
        <v>14098</v>
      </c>
      <c r="G323" s="7">
        <f>SUMIFS('Лист2'!E:E, 'Лист2'!A:A, A323, 'Лист2'!B:B, B323)</f>
        <v>13106</v>
      </c>
      <c r="H323" s="8">
        <f t="shared" si="1"/>
        <v>404778.7881</v>
      </c>
      <c r="I323" s="8">
        <f t="shared" si="2"/>
        <v>19</v>
      </c>
    </row>
    <row r="324" ht="14.25" customHeight="1">
      <c r="A324" s="5">
        <v>43958.0</v>
      </c>
      <c r="B324" s="6" t="s">
        <v>21</v>
      </c>
      <c r="C324" s="6">
        <v>219411.0</v>
      </c>
      <c r="D324" s="6">
        <v>2.246013E7</v>
      </c>
      <c r="E324" s="7">
        <f>SUMIFS('Лист2'!C:C, 'Лист2'!A:A, A324, 'Лист2'!B:B, B324)</f>
        <v>59</v>
      </c>
      <c r="F324" s="7">
        <f>SUMIFS('Лист2'!D:D, 'Лист2'!A:A, A324, 'Лист2'!B:B, B324)</f>
        <v>13495</v>
      </c>
      <c r="G324" s="7">
        <f>SUMIFS('Лист2'!E:E, 'Лист2'!A:A, A324, 'Лист2'!B:B, B324)</f>
        <v>12517</v>
      </c>
      <c r="H324" s="8">
        <f t="shared" si="1"/>
        <v>380680.1695</v>
      </c>
      <c r="I324" s="8">
        <f t="shared" si="2"/>
        <v>19</v>
      </c>
    </row>
    <row r="325" ht="14.25" customHeight="1">
      <c r="A325" s="9">
        <v>43975.0</v>
      </c>
      <c r="B325" s="10" t="s">
        <v>21</v>
      </c>
      <c r="C325" s="10">
        <v>200029.5</v>
      </c>
      <c r="D325" s="10">
        <v>1.9959801E7</v>
      </c>
      <c r="E325" s="7">
        <f>SUMIFS('Лист2'!C:C, 'Лист2'!A:A, A325, 'Лист2'!B:B, B325)</f>
        <v>60</v>
      </c>
      <c r="F325" s="7">
        <f>SUMIFS('Лист2'!D:D, 'Лист2'!A:A, A325, 'Лист2'!B:B, B325)</f>
        <v>12822</v>
      </c>
      <c r="G325" s="7">
        <f>SUMIFS('Лист2'!E:E, 'Лист2'!A:A, A325, 'Лист2'!B:B, B325)</f>
        <v>11916</v>
      </c>
      <c r="H325" s="8">
        <f t="shared" si="1"/>
        <v>332663.35</v>
      </c>
      <c r="I325" s="8">
        <f t="shared" si="2"/>
        <v>21</v>
      </c>
    </row>
    <row r="326" ht="14.25" customHeight="1">
      <c r="A326" s="5">
        <v>43967.0</v>
      </c>
      <c r="B326" s="6" t="s">
        <v>22</v>
      </c>
      <c r="C326" s="6">
        <v>225480.0</v>
      </c>
      <c r="D326" s="6">
        <v>2.23553385E7</v>
      </c>
      <c r="E326" s="7">
        <f>SUMIFS('Лист2'!C:C, 'Лист2'!A:A, A326, 'Лист2'!B:B, B326)</f>
        <v>54</v>
      </c>
      <c r="F326" s="7">
        <f>SUMIFS('Лист2'!D:D, 'Лист2'!A:A, A326, 'Лист2'!B:B, B326)</f>
        <v>13170</v>
      </c>
      <c r="G326" s="7">
        <f>SUMIFS('Лист2'!E:E, 'Лист2'!A:A, A326, 'Лист2'!B:B, B326)</f>
        <v>12299</v>
      </c>
      <c r="H326" s="8">
        <f t="shared" si="1"/>
        <v>413987.75</v>
      </c>
      <c r="I326" s="8">
        <f t="shared" si="2"/>
        <v>20</v>
      </c>
    </row>
    <row r="327" ht="14.25" customHeight="1">
      <c r="A327" s="9">
        <v>43970.0</v>
      </c>
      <c r="B327" s="10" t="s">
        <v>22</v>
      </c>
      <c r="C327" s="10">
        <v>211453.5</v>
      </c>
      <c r="D327" s="10">
        <v>2.05900725E7</v>
      </c>
      <c r="E327" s="7">
        <f>SUMIFS('Лист2'!C:C, 'Лист2'!A:A, A327, 'Лист2'!B:B, B327)</f>
        <v>54</v>
      </c>
      <c r="F327" s="7">
        <f>SUMIFS('Лист2'!D:D, 'Лист2'!A:A, A327, 'Лист2'!B:B, B327)</f>
        <v>13070</v>
      </c>
      <c r="G327" s="7">
        <f>SUMIFS('Лист2'!E:E, 'Лист2'!A:A, A327, 'Лист2'!B:B, B327)</f>
        <v>12244</v>
      </c>
      <c r="H327" s="8">
        <f t="shared" si="1"/>
        <v>381297.6389</v>
      </c>
      <c r="I327" s="8">
        <f t="shared" si="2"/>
        <v>21</v>
      </c>
    </row>
    <row r="328" ht="14.25" customHeight="1">
      <c r="A328" s="5">
        <v>43968.0</v>
      </c>
      <c r="B328" s="6" t="s">
        <v>22</v>
      </c>
      <c r="C328" s="6">
        <v>184801.5</v>
      </c>
      <c r="D328" s="6">
        <v>1.8449091E7</v>
      </c>
      <c r="E328" s="7">
        <f>SUMIFS('Лист2'!C:C, 'Лист2'!A:A, A328, 'Лист2'!B:B, B328)</f>
        <v>54</v>
      </c>
      <c r="F328" s="7">
        <f>SUMIFS('Лист2'!D:D, 'Лист2'!A:A, A328, 'Лист2'!B:B, B328)</f>
        <v>11128</v>
      </c>
      <c r="G328" s="7">
        <f>SUMIFS('Лист2'!E:E, 'Лист2'!A:A, A328, 'Лист2'!B:B, B328)</f>
        <v>10467</v>
      </c>
      <c r="H328" s="8">
        <f t="shared" si="1"/>
        <v>341649.8333</v>
      </c>
      <c r="I328" s="8">
        <f t="shared" si="2"/>
        <v>20</v>
      </c>
    </row>
    <row r="329" ht="14.25" customHeight="1">
      <c r="A329" s="9">
        <v>43960.0</v>
      </c>
      <c r="B329" s="10" t="s">
        <v>22</v>
      </c>
      <c r="C329" s="10">
        <v>177976.5</v>
      </c>
      <c r="D329" s="10">
        <v>1.80857985E7</v>
      </c>
      <c r="E329" s="7">
        <f>SUMIFS('Лист2'!C:C, 'Лист2'!A:A, A329, 'Лист2'!B:B, B329)</f>
        <v>54</v>
      </c>
      <c r="F329" s="7">
        <f>SUMIFS('Лист2'!D:D, 'Лист2'!A:A, A329, 'Лист2'!B:B, B329)</f>
        <v>11288</v>
      </c>
      <c r="G329" s="7">
        <f>SUMIFS('Лист2'!E:E, 'Лист2'!A:A, A329, 'Лист2'!B:B, B329)</f>
        <v>10492</v>
      </c>
      <c r="H329" s="8">
        <f t="shared" si="1"/>
        <v>334922.1944</v>
      </c>
      <c r="I329" s="8">
        <f t="shared" si="2"/>
        <v>19</v>
      </c>
    </row>
    <row r="330" ht="14.25" customHeight="1">
      <c r="A330" s="5">
        <v>43955.0</v>
      </c>
      <c r="B330" s="6" t="s">
        <v>22</v>
      </c>
      <c r="C330" s="6">
        <v>223617.0</v>
      </c>
      <c r="D330" s="6">
        <v>2.27968275E7</v>
      </c>
      <c r="E330" s="7">
        <f>SUMIFS('Лист2'!C:C, 'Лист2'!A:A, A330, 'Лист2'!B:B, B330)</f>
        <v>54</v>
      </c>
      <c r="F330" s="7">
        <f>SUMIFS('Лист2'!D:D, 'Лист2'!A:A, A330, 'Лист2'!B:B, B330)</f>
        <v>13606</v>
      </c>
      <c r="G330" s="7">
        <f>SUMIFS('Лист2'!E:E, 'Лист2'!A:A, A330, 'Лист2'!B:B, B330)</f>
        <v>12697</v>
      </c>
      <c r="H330" s="8">
        <f t="shared" si="1"/>
        <v>422163.4722</v>
      </c>
      <c r="I330" s="8">
        <f t="shared" si="2"/>
        <v>19</v>
      </c>
    </row>
    <row r="331" ht="14.25" customHeight="1">
      <c r="A331" s="9">
        <v>43953.0</v>
      </c>
      <c r="B331" s="10" t="s">
        <v>22</v>
      </c>
      <c r="C331" s="10">
        <v>176397.0</v>
      </c>
      <c r="D331" s="10">
        <v>1.86259215E7</v>
      </c>
      <c r="E331" s="7">
        <f>SUMIFS('Лист2'!C:C, 'Лист2'!A:A, A331, 'Лист2'!B:B, B331)</f>
        <v>54</v>
      </c>
      <c r="F331" s="7">
        <f>SUMIFS('Лист2'!D:D, 'Лист2'!A:A, A331, 'Лист2'!B:B, B331)</f>
        <v>11622</v>
      </c>
      <c r="G331" s="7">
        <f>SUMIFS('Лист2'!E:E, 'Лист2'!A:A, A331, 'Лист2'!B:B, B331)</f>
        <v>10754</v>
      </c>
      <c r="H331" s="8">
        <f t="shared" si="1"/>
        <v>344924.4722</v>
      </c>
      <c r="I331" s="8">
        <f t="shared" si="2"/>
        <v>18</v>
      </c>
    </row>
    <row r="332" ht="14.25" customHeight="1">
      <c r="A332" s="5">
        <v>43977.0</v>
      </c>
      <c r="B332" s="6" t="s">
        <v>22</v>
      </c>
      <c r="C332" s="6">
        <v>232369.5</v>
      </c>
      <c r="D332" s="6">
        <v>2.3856345E7</v>
      </c>
      <c r="E332" s="7">
        <f>SUMIFS('Лист2'!C:C, 'Лист2'!A:A, A332, 'Лист2'!B:B, B332)</f>
        <v>54</v>
      </c>
      <c r="F332" s="7">
        <f>SUMIFS('Лист2'!D:D, 'Лист2'!A:A, A332, 'Лист2'!B:B, B332)</f>
        <v>14482</v>
      </c>
      <c r="G332" s="7">
        <f>SUMIFS('Лист2'!E:E, 'Лист2'!A:A, A332, 'Лист2'!B:B, B332)</f>
        <v>13510</v>
      </c>
      <c r="H332" s="8">
        <f t="shared" si="1"/>
        <v>441784.1667</v>
      </c>
      <c r="I332" s="8">
        <f t="shared" si="2"/>
        <v>22</v>
      </c>
    </row>
    <row r="333" ht="14.25" customHeight="1">
      <c r="A333" s="9">
        <v>43952.0</v>
      </c>
      <c r="B333" s="10" t="s">
        <v>22</v>
      </c>
      <c r="C333" s="10">
        <v>226540.5</v>
      </c>
      <c r="D333" s="10">
        <v>2.3953536E7</v>
      </c>
      <c r="E333" s="7">
        <f>SUMIFS('Лист2'!C:C, 'Лист2'!A:A, A333, 'Лист2'!B:B, B333)</f>
        <v>54</v>
      </c>
      <c r="F333" s="7">
        <f>SUMIFS('Лист2'!D:D, 'Лист2'!A:A, A333, 'Лист2'!B:B, B333)</f>
        <v>14205</v>
      </c>
      <c r="G333" s="7">
        <f>SUMIFS('Лист2'!E:E, 'Лист2'!A:A, A333, 'Лист2'!B:B, B333)</f>
        <v>13026</v>
      </c>
      <c r="H333" s="8">
        <f t="shared" si="1"/>
        <v>443584</v>
      </c>
      <c r="I333" s="8">
        <f t="shared" si="2"/>
        <v>18</v>
      </c>
    </row>
    <row r="334" ht="14.25" customHeight="1">
      <c r="A334" s="5">
        <v>43963.0</v>
      </c>
      <c r="B334" s="6" t="s">
        <v>22</v>
      </c>
      <c r="C334" s="6">
        <v>189679.5</v>
      </c>
      <c r="D334" s="6">
        <v>1.87180365E7</v>
      </c>
      <c r="E334" s="7">
        <f>SUMIFS('Лист2'!C:C, 'Лист2'!A:A, A334, 'Лист2'!B:B, B334)</f>
        <v>54</v>
      </c>
      <c r="F334" s="7">
        <f>SUMIFS('Лист2'!D:D, 'Лист2'!A:A, A334, 'Лист2'!B:B, B334)</f>
        <v>11614</v>
      </c>
      <c r="G334" s="7">
        <f>SUMIFS('Лист2'!E:E, 'Лист2'!A:A, A334, 'Лист2'!B:B, B334)</f>
        <v>10862</v>
      </c>
      <c r="H334" s="8">
        <f t="shared" si="1"/>
        <v>346630.3056</v>
      </c>
      <c r="I334" s="8">
        <f t="shared" si="2"/>
        <v>20</v>
      </c>
    </row>
    <row r="335" ht="14.25" customHeight="1">
      <c r="A335" s="9">
        <v>43972.0</v>
      </c>
      <c r="B335" s="10" t="s">
        <v>22</v>
      </c>
      <c r="C335" s="10">
        <v>213640.5</v>
      </c>
      <c r="D335" s="10">
        <v>2.10426735E7</v>
      </c>
      <c r="E335" s="7">
        <f>SUMIFS('Лист2'!C:C, 'Лист2'!A:A, A335, 'Лист2'!B:B, B335)</f>
        <v>54</v>
      </c>
      <c r="F335" s="7">
        <f>SUMIFS('Лист2'!D:D, 'Лист2'!A:A, A335, 'Лист2'!B:B, B335)</f>
        <v>13240</v>
      </c>
      <c r="G335" s="7">
        <f>SUMIFS('Лист2'!E:E, 'Лист2'!A:A, A335, 'Лист2'!B:B, B335)</f>
        <v>12360</v>
      </c>
      <c r="H335" s="8">
        <f t="shared" si="1"/>
        <v>389679.1389</v>
      </c>
      <c r="I335" s="8">
        <f t="shared" si="2"/>
        <v>21</v>
      </c>
    </row>
    <row r="336" ht="14.25" customHeight="1">
      <c r="A336" s="5">
        <v>43971.0</v>
      </c>
      <c r="B336" s="6" t="s">
        <v>22</v>
      </c>
      <c r="C336" s="6">
        <v>214885.5</v>
      </c>
      <c r="D336" s="6">
        <v>2.14113495E7</v>
      </c>
      <c r="E336" s="7">
        <f>SUMIFS('Лист2'!C:C, 'Лист2'!A:A, A336, 'Лист2'!B:B, B336)</f>
        <v>54</v>
      </c>
      <c r="F336" s="7">
        <f>SUMIFS('Лист2'!D:D, 'Лист2'!A:A, A336, 'Лист2'!B:B, B336)</f>
        <v>13298</v>
      </c>
      <c r="G336" s="7">
        <f>SUMIFS('Лист2'!E:E, 'Лист2'!A:A, A336, 'Лист2'!B:B, B336)</f>
        <v>12428</v>
      </c>
      <c r="H336" s="8">
        <f t="shared" si="1"/>
        <v>396506.4722</v>
      </c>
      <c r="I336" s="8">
        <f t="shared" si="2"/>
        <v>21</v>
      </c>
    </row>
    <row r="337" ht="14.25" customHeight="1">
      <c r="A337" s="9">
        <v>43956.0</v>
      </c>
      <c r="B337" s="10" t="s">
        <v>22</v>
      </c>
      <c r="C337" s="10">
        <v>203832.0</v>
      </c>
      <c r="D337" s="10">
        <v>2.08801425E7</v>
      </c>
      <c r="E337" s="7">
        <f>SUMIFS('Лист2'!C:C, 'Лист2'!A:A, A337, 'Лист2'!B:B, B337)</f>
        <v>54</v>
      </c>
      <c r="F337" s="7">
        <f>SUMIFS('Лист2'!D:D, 'Лист2'!A:A, A337, 'Лист2'!B:B, B337)</f>
        <v>12775</v>
      </c>
      <c r="G337" s="7">
        <f>SUMIFS('Лист2'!E:E, 'Лист2'!A:A, A337, 'Лист2'!B:B, B337)</f>
        <v>11887</v>
      </c>
      <c r="H337" s="8">
        <f t="shared" si="1"/>
        <v>386669.3056</v>
      </c>
      <c r="I337" s="8">
        <f t="shared" si="2"/>
        <v>19</v>
      </c>
    </row>
    <row r="338" ht="14.25" customHeight="1">
      <c r="A338" s="5">
        <v>43964.0</v>
      </c>
      <c r="B338" s="6" t="s">
        <v>22</v>
      </c>
      <c r="C338" s="6">
        <v>188662.5</v>
      </c>
      <c r="D338" s="6">
        <v>1.87840005E7</v>
      </c>
      <c r="E338" s="7">
        <f>SUMIFS('Лист2'!C:C, 'Лист2'!A:A, A338, 'Лист2'!B:B, B338)</f>
        <v>54</v>
      </c>
      <c r="F338" s="7">
        <f>SUMIFS('Лист2'!D:D, 'Лист2'!A:A, A338, 'Лист2'!B:B, B338)</f>
        <v>11522</v>
      </c>
      <c r="G338" s="7">
        <f>SUMIFS('Лист2'!E:E, 'Лист2'!A:A, A338, 'Лист2'!B:B, B338)</f>
        <v>10803</v>
      </c>
      <c r="H338" s="8">
        <f t="shared" si="1"/>
        <v>347851.8611</v>
      </c>
      <c r="I338" s="8">
        <f t="shared" si="2"/>
        <v>20</v>
      </c>
    </row>
    <row r="339" ht="14.25" customHeight="1">
      <c r="A339" s="9">
        <v>43982.0</v>
      </c>
      <c r="B339" s="10" t="s">
        <v>21</v>
      </c>
      <c r="C339" s="10">
        <v>215277.0</v>
      </c>
      <c r="D339" s="10">
        <v>2.15853165E7</v>
      </c>
      <c r="E339" s="7">
        <f>SUMIFS('Лист2'!C:C, 'Лист2'!A:A, A339, 'Лист2'!B:B, B339)</f>
        <v>59</v>
      </c>
      <c r="F339" s="7">
        <f>SUMIFS('Лист2'!D:D, 'Лист2'!A:A, A339, 'Лист2'!B:B, B339)</f>
        <v>13684</v>
      </c>
      <c r="G339" s="7">
        <f>SUMIFS('Лист2'!E:E, 'Лист2'!A:A, A339, 'Лист2'!B:B, B339)</f>
        <v>12690</v>
      </c>
      <c r="H339" s="8">
        <f t="shared" si="1"/>
        <v>365852.822</v>
      </c>
      <c r="I339" s="8">
        <f t="shared" si="2"/>
        <v>22</v>
      </c>
    </row>
    <row r="340" ht="14.25" customHeight="1">
      <c r="A340" s="5">
        <v>43954.0</v>
      </c>
      <c r="B340" s="6" t="s">
        <v>22</v>
      </c>
      <c r="C340" s="6">
        <v>248148.0</v>
      </c>
      <c r="D340" s="6">
        <v>2.55190725E7</v>
      </c>
      <c r="E340" s="7">
        <f>SUMIFS('Лист2'!C:C, 'Лист2'!A:A, A340, 'Лист2'!B:B, B340)</f>
        <v>54</v>
      </c>
      <c r="F340" s="7">
        <f>SUMIFS('Лист2'!D:D, 'Лист2'!A:A, A340, 'Лист2'!B:B, B340)</f>
        <v>14823</v>
      </c>
      <c r="G340" s="7">
        <f>SUMIFS('Лист2'!E:E, 'Лист2'!A:A, A340, 'Лист2'!B:B, B340)</f>
        <v>13751</v>
      </c>
      <c r="H340" s="8">
        <f t="shared" si="1"/>
        <v>472575.4167</v>
      </c>
      <c r="I340" s="8">
        <f t="shared" si="2"/>
        <v>18</v>
      </c>
    </row>
    <row r="341" ht="14.25" customHeight="1">
      <c r="A341" s="9">
        <v>43981.0</v>
      </c>
      <c r="B341" s="10" t="s">
        <v>21</v>
      </c>
      <c r="C341" s="10">
        <v>246414.0</v>
      </c>
      <c r="D341" s="10">
        <v>2.45272455E7</v>
      </c>
      <c r="E341" s="7">
        <f>SUMIFS('Лист2'!C:C, 'Лист2'!A:A, A341, 'Лист2'!B:B, B341)</f>
        <v>59</v>
      </c>
      <c r="F341" s="7">
        <f>SUMIFS('Лист2'!D:D, 'Лист2'!A:A, A341, 'Лист2'!B:B, B341)</f>
        <v>15030</v>
      </c>
      <c r="G341" s="7">
        <f>SUMIFS('Лист2'!E:E, 'Лист2'!A:A, A341, 'Лист2'!B:B, B341)</f>
        <v>13956</v>
      </c>
      <c r="H341" s="8">
        <f t="shared" si="1"/>
        <v>415716.0254</v>
      </c>
      <c r="I341" s="8">
        <f t="shared" si="2"/>
        <v>22</v>
      </c>
    </row>
    <row r="342" ht="14.25" customHeight="1">
      <c r="A342" s="5">
        <v>43957.0</v>
      </c>
      <c r="B342" s="6" t="s">
        <v>22</v>
      </c>
      <c r="C342" s="6">
        <v>216498.0</v>
      </c>
      <c r="D342" s="6">
        <v>2.21264445E7</v>
      </c>
      <c r="E342" s="7">
        <f>SUMIFS('Лист2'!C:C, 'Лист2'!A:A, A342, 'Лист2'!B:B, B342)</f>
        <v>54</v>
      </c>
      <c r="F342" s="7">
        <f>SUMIFS('Лист2'!D:D, 'Лист2'!A:A, A342, 'Лист2'!B:B, B342)</f>
        <v>13406</v>
      </c>
      <c r="G342" s="7">
        <f>SUMIFS('Лист2'!E:E, 'Лист2'!A:A, A342, 'Лист2'!B:B, B342)</f>
        <v>12518</v>
      </c>
      <c r="H342" s="8">
        <f t="shared" si="1"/>
        <v>409748.9722</v>
      </c>
      <c r="I342" s="8">
        <f t="shared" si="2"/>
        <v>19</v>
      </c>
    </row>
    <row r="343" ht="14.25" customHeight="1">
      <c r="A343" s="9">
        <v>43974.0</v>
      </c>
      <c r="B343" s="10" t="s">
        <v>22</v>
      </c>
      <c r="C343" s="10">
        <v>275793.0</v>
      </c>
      <c r="D343" s="10">
        <v>2.6806626E7</v>
      </c>
      <c r="E343" s="7">
        <f>SUMIFS('Лист2'!C:C, 'Лист2'!A:A, A343, 'Лист2'!B:B, B343)</f>
        <v>54</v>
      </c>
      <c r="F343" s="7">
        <f>SUMIFS('Лист2'!D:D, 'Лист2'!A:A, A343, 'Лист2'!B:B, B343)</f>
        <v>16221</v>
      </c>
      <c r="G343" s="7">
        <f>SUMIFS('Лист2'!E:E, 'Лист2'!A:A, A343, 'Лист2'!B:B, B343)</f>
        <v>15065</v>
      </c>
      <c r="H343" s="8">
        <f t="shared" si="1"/>
        <v>496419</v>
      </c>
      <c r="I343" s="8">
        <f t="shared" si="2"/>
        <v>21</v>
      </c>
    </row>
    <row r="344" ht="14.25" customHeight="1">
      <c r="A344" s="5">
        <v>43979.0</v>
      </c>
      <c r="B344" s="6" t="s">
        <v>21</v>
      </c>
      <c r="C344" s="6">
        <v>199753.5</v>
      </c>
      <c r="D344" s="6">
        <v>2.05357335E7</v>
      </c>
      <c r="E344" s="7">
        <f>SUMIFS('Лист2'!C:C, 'Лист2'!A:A, A344, 'Лист2'!B:B, B344)</f>
        <v>60</v>
      </c>
      <c r="F344" s="7">
        <f>SUMIFS('Лист2'!D:D, 'Лист2'!A:A, A344, 'Лист2'!B:B, B344)</f>
        <v>12854</v>
      </c>
      <c r="G344" s="7">
        <f>SUMIFS('Лист2'!E:E, 'Лист2'!A:A, A344, 'Лист2'!B:B, B344)</f>
        <v>11954</v>
      </c>
      <c r="H344" s="8">
        <f t="shared" si="1"/>
        <v>342262.225</v>
      </c>
      <c r="I344" s="8">
        <f t="shared" si="2"/>
        <v>22</v>
      </c>
    </row>
    <row r="345" ht="14.25" customHeight="1">
      <c r="A345" s="9">
        <v>43976.0</v>
      </c>
      <c r="B345" s="10" t="s">
        <v>22</v>
      </c>
      <c r="C345" s="10">
        <v>192948.0</v>
      </c>
      <c r="D345" s="10">
        <v>1.9806927E7</v>
      </c>
      <c r="E345" s="7">
        <f>SUMIFS('Лист2'!C:C, 'Лист2'!A:A, A345, 'Лист2'!B:B, B345)</f>
        <v>54</v>
      </c>
      <c r="F345" s="7">
        <f>SUMIFS('Лист2'!D:D, 'Лист2'!A:A, A345, 'Лист2'!B:B, B345)</f>
        <v>12336</v>
      </c>
      <c r="G345" s="7">
        <f>SUMIFS('Лист2'!E:E, 'Лист2'!A:A, A345, 'Лист2'!B:B, B345)</f>
        <v>11519</v>
      </c>
      <c r="H345" s="8">
        <f t="shared" si="1"/>
        <v>366794.9444</v>
      </c>
      <c r="I345" s="8">
        <f t="shared" si="2"/>
        <v>22</v>
      </c>
    </row>
    <row r="346" ht="14.25" customHeight="1">
      <c r="A346" s="5">
        <v>43951.0</v>
      </c>
      <c r="B346" s="6" t="s">
        <v>22</v>
      </c>
      <c r="C346" s="6">
        <v>206038.5</v>
      </c>
      <c r="D346" s="6">
        <v>2.174046E7</v>
      </c>
      <c r="E346" s="7">
        <f>SUMIFS('Лист2'!C:C, 'Лист2'!A:A, A346, 'Лист2'!B:B, B346)</f>
        <v>54</v>
      </c>
      <c r="F346" s="7">
        <f>SUMIFS('Лист2'!D:D, 'Лист2'!A:A, A346, 'Лист2'!B:B, B346)</f>
        <v>12817</v>
      </c>
      <c r="G346" s="7">
        <f>SUMIFS('Лист2'!E:E, 'Лист2'!A:A, A346, 'Лист2'!B:B, B346)</f>
        <v>11865</v>
      </c>
      <c r="H346" s="8">
        <f t="shared" si="1"/>
        <v>402601.1111</v>
      </c>
      <c r="I346" s="8">
        <f t="shared" si="2"/>
        <v>18</v>
      </c>
    </row>
    <row r="347" ht="14.25" customHeight="1">
      <c r="A347" s="9">
        <v>43961.0</v>
      </c>
      <c r="B347" s="10" t="s">
        <v>22</v>
      </c>
      <c r="C347" s="10">
        <v>231559.5</v>
      </c>
      <c r="D347" s="10">
        <v>2.3443725E7</v>
      </c>
      <c r="E347" s="7">
        <f>SUMIFS('Лист2'!C:C, 'Лист2'!A:A, A347, 'Лист2'!B:B, B347)</f>
        <v>54</v>
      </c>
      <c r="F347" s="7">
        <f>SUMIFS('Лист2'!D:D, 'Лист2'!A:A, A347, 'Лист2'!B:B, B347)</f>
        <v>13832</v>
      </c>
      <c r="G347" s="7">
        <f>SUMIFS('Лист2'!E:E, 'Лист2'!A:A, A347, 'Лист2'!B:B, B347)</f>
        <v>12864</v>
      </c>
      <c r="H347" s="8">
        <f t="shared" si="1"/>
        <v>434143.0556</v>
      </c>
      <c r="I347" s="8">
        <f t="shared" si="2"/>
        <v>19</v>
      </c>
    </row>
    <row r="348" ht="14.25" customHeight="1">
      <c r="A348" s="5">
        <v>43959.0</v>
      </c>
      <c r="B348" s="6" t="s">
        <v>22</v>
      </c>
      <c r="C348" s="6">
        <v>225076.5</v>
      </c>
      <c r="D348" s="6">
        <v>2.28460785E7</v>
      </c>
      <c r="E348" s="7">
        <f>SUMIFS('Лист2'!C:C, 'Лист2'!A:A, A348, 'Лист2'!B:B, B348)</f>
        <v>54</v>
      </c>
      <c r="F348" s="7">
        <f>SUMIFS('Лист2'!D:D, 'Лист2'!A:A, A348, 'Лист2'!B:B, B348)</f>
        <v>13563</v>
      </c>
      <c r="G348" s="7">
        <f>SUMIFS('Лист2'!E:E, 'Лист2'!A:A, A348, 'Лист2'!B:B, B348)</f>
        <v>12604</v>
      </c>
      <c r="H348" s="8">
        <f t="shared" si="1"/>
        <v>423075.5278</v>
      </c>
      <c r="I348" s="8">
        <f t="shared" si="2"/>
        <v>19</v>
      </c>
    </row>
    <row r="349" ht="14.25" customHeight="1">
      <c r="A349" s="9">
        <v>43958.0</v>
      </c>
      <c r="B349" s="10" t="s">
        <v>22</v>
      </c>
      <c r="C349" s="10">
        <v>209415.0</v>
      </c>
      <c r="D349" s="10">
        <v>2.1463023E7</v>
      </c>
      <c r="E349" s="7">
        <f>SUMIFS('Лист2'!C:C, 'Лист2'!A:A, A349, 'Лист2'!B:B, B349)</f>
        <v>54</v>
      </c>
      <c r="F349" s="7">
        <f>SUMIFS('Лист2'!D:D, 'Лист2'!A:A, A349, 'Лист2'!B:B, B349)</f>
        <v>12743</v>
      </c>
      <c r="G349" s="7">
        <f>SUMIFS('Лист2'!E:E, 'Лист2'!A:A, A349, 'Лист2'!B:B, B349)</f>
        <v>11858</v>
      </c>
      <c r="H349" s="8">
        <f t="shared" si="1"/>
        <v>397463.3889</v>
      </c>
      <c r="I349" s="8">
        <f t="shared" si="2"/>
        <v>19</v>
      </c>
    </row>
    <row r="350" ht="14.25" customHeight="1">
      <c r="A350" s="5">
        <v>43975.0</v>
      </c>
      <c r="B350" s="6" t="s">
        <v>22</v>
      </c>
      <c r="C350" s="6">
        <v>193719.0</v>
      </c>
      <c r="D350" s="6">
        <v>1.9071117E7</v>
      </c>
      <c r="E350" s="7">
        <f>SUMIFS('Лист2'!C:C, 'Лист2'!A:A, A350, 'Лист2'!B:B, B350)</f>
        <v>54</v>
      </c>
      <c r="F350" s="7">
        <f>SUMIFS('Лист2'!D:D, 'Лист2'!A:A, A350, 'Лист2'!B:B, B350)</f>
        <v>12211</v>
      </c>
      <c r="G350" s="7">
        <f>SUMIFS('Лист2'!E:E, 'Лист2'!A:A, A350, 'Лист2'!B:B, B350)</f>
        <v>11427</v>
      </c>
      <c r="H350" s="8">
        <f t="shared" si="1"/>
        <v>353168.8333</v>
      </c>
      <c r="I350" s="8">
        <f t="shared" si="2"/>
        <v>21</v>
      </c>
    </row>
    <row r="351" ht="14.25" customHeight="1">
      <c r="A351" s="9">
        <v>43950.0</v>
      </c>
      <c r="B351" s="10" t="s">
        <v>23</v>
      </c>
      <c r="C351" s="10">
        <v>12250.5</v>
      </c>
      <c r="D351" s="10">
        <v>981519.0</v>
      </c>
      <c r="E351" s="7">
        <f>SUMIFS('Лист2'!C:C, 'Лист2'!A:A, A351, 'Лист2'!B:B, B351)</f>
        <v>15</v>
      </c>
      <c r="F351" s="7">
        <f>SUMIFS('Лист2'!D:D, 'Лист2'!A:A, A351, 'Лист2'!B:B, B351)</f>
        <v>659</v>
      </c>
      <c r="G351" s="7">
        <f>SUMIFS('Лист2'!E:E, 'Лист2'!A:A, A351, 'Лист2'!B:B, B351)</f>
        <v>575</v>
      </c>
      <c r="H351" s="8">
        <f t="shared" si="1"/>
        <v>65434.6</v>
      </c>
      <c r="I351" s="8">
        <f t="shared" si="2"/>
        <v>18</v>
      </c>
    </row>
    <row r="352" ht="14.25" customHeight="1">
      <c r="A352" s="5">
        <v>43949.0</v>
      </c>
      <c r="B352" s="6" t="s">
        <v>23</v>
      </c>
      <c r="C352" s="6">
        <v>12541.5</v>
      </c>
      <c r="D352" s="6">
        <v>992541.0</v>
      </c>
      <c r="E352" s="7">
        <f>SUMIFS('Лист2'!C:C, 'Лист2'!A:A, A352, 'Лист2'!B:B, B352)</f>
        <v>15</v>
      </c>
      <c r="F352" s="7">
        <f>SUMIFS('Лист2'!D:D, 'Лист2'!A:A, A352, 'Лист2'!B:B, B352)</f>
        <v>636</v>
      </c>
      <c r="G352" s="7">
        <f>SUMIFS('Лист2'!E:E, 'Лист2'!A:A, A352, 'Лист2'!B:B, B352)</f>
        <v>547</v>
      </c>
      <c r="H352" s="8">
        <f t="shared" si="1"/>
        <v>66169.4</v>
      </c>
      <c r="I352" s="8">
        <f t="shared" si="2"/>
        <v>18</v>
      </c>
    </row>
    <row r="353" ht="14.25" customHeight="1">
      <c r="A353" s="9">
        <v>43982.0</v>
      </c>
      <c r="B353" s="10" t="s">
        <v>22</v>
      </c>
      <c r="C353" s="10">
        <v>206758.5</v>
      </c>
      <c r="D353" s="10">
        <v>2.07172485E7</v>
      </c>
      <c r="E353" s="7">
        <f>SUMIFS('Лист2'!C:C, 'Лист2'!A:A, A353, 'Лист2'!B:B, B353)</f>
        <v>54</v>
      </c>
      <c r="F353" s="7">
        <f>SUMIFS('Лист2'!D:D, 'Лист2'!A:A, A353, 'Лист2'!B:B, B353)</f>
        <v>13106</v>
      </c>
      <c r="G353" s="7">
        <f>SUMIFS('Лист2'!E:E, 'Лист2'!A:A, A353, 'Лист2'!B:B, B353)</f>
        <v>12164</v>
      </c>
      <c r="H353" s="8">
        <f t="shared" si="1"/>
        <v>383652.75</v>
      </c>
      <c r="I353" s="8">
        <f t="shared" si="2"/>
        <v>22</v>
      </c>
    </row>
    <row r="354" ht="14.25" customHeight="1">
      <c r="A354" s="5">
        <v>43981.0</v>
      </c>
      <c r="B354" s="6" t="s">
        <v>22</v>
      </c>
      <c r="C354" s="6">
        <v>244734.0</v>
      </c>
      <c r="D354" s="6">
        <v>2.415198E7</v>
      </c>
      <c r="E354" s="7">
        <f>SUMIFS('Лист2'!C:C, 'Лист2'!A:A, A354, 'Лист2'!B:B, B354)</f>
        <v>54</v>
      </c>
      <c r="F354" s="7">
        <f>SUMIFS('Лист2'!D:D, 'Лист2'!A:A, A354, 'Лист2'!B:B, B354)</f>
        <v>14590</v>
      </c>
      <c r="G354" s="7">
        <f>SUMIFS('Лист2'!E:E, 'Лист2'!A:A, A354, 'Лист2'!B:B, B354)</f>
        <v>13551</v>
      </c>
      <c r="H354" s="8">
        <f t="shared" si="1"/>
        <v>447258.8889</v>
      </c>
      <c r="I354" s="8">
        <f t="shared" si="2"/>
        <v>22</v>
      </c>
    </row>
    <row r="355" ht="14.25" customHeight="1">
      <c r="A355" s="9">
        <v>43979.0</v>
      </c>
      <c r="B355" s="10" t="s">
        <v>22</v>
      </c>
      <c r="C355" s="10">
        <v>191641.5</v>
      </c>
      <c r="D355" s="10">
        <v>1.95490365E7</v>
      </c>
      <c r="E355" s="7">
        <f>SUMIFS('Лист2'!C:C, 'Лист2'!A:A, A355, 'Лист2'!B:B, B355)</f>
        <v>54</v>
      </c>
      <c r="F355" s="7">
        <f>SUMIFS('Лист2'!D:D, 'Лист2'!A:A, A355, 'Лист2'!B:B, B355)</f>
        <v>12409</v>
      </c>
      <c r="G355" s="7">
        <f>SUMIFS('Лист2'!E:E, 'Лист2'!A:A, A355, 'Лист2'!B:B, B355)</f>
        <v>11582</v>
      </c>
      <c r="H355" s="8">
        <f t="shared" si="1"/>
        <v>362019.1944</v>
      </c>
      <c r="I355" s="8">
        <f t="shared" si="2"/>
        <v>22</v>
      </c>
    </row>
    <row r="356" ht="14.25" customHeight="1">
      <c r="A356" s="5">
        <v>43967.0</v>
      </c>
      <c r="B356" s="6" t="s">
        <v>23</v>
      </c>
      <c r="C356" s="6">
        <v>16368.0</v>
      </c>
      <c r="D356" s="6">
        <v>1316350.5</v>
      </c>
      <c r="E356" s="7">
        <f>SUMIFS('Лист2'!C:C, 'Лист2'!A:A, A356, 'Лист2'!B:B, B356)</f>
        <v>16</v>
      </c>
      <c r="F356" s="7">
        <f>SUMIFS('Лист2'!D:D, 'Лист2'!A:A, A356, 'Лист2'!B:B, B356)</f>
        <v>920</v>
      </c>
      <c r="G356" s="7">
        <f>SUMIFS('Лист2'!E:E, 'Лист2'!A:A, A356, 'Лист2'!B:B, B356)</f>
        <v>818</v>
      </c>
      <c r="H356" s="8">
        <f t="shared" si="1"/>
        <v>82271.90625</v>
      </c>
      <c r="I356" s="8">
        <f t="shared" si="2"/>
        <v>20</v>
      </c>
    </row>
    <row r="357" ht="14.25" customHeight="1">
      <c r="A357" s="9">
        <v>43970.0</v>
      </c>
      <c r="B357" s="10" t="s">
        <v>23</v>
      </c>
      <c r="C357" s="10">
        <v>14427.0</v>
      </c>
      <c r="D357" s="10">
        <v>1126810.5</v>
      </c>
      <c r="E357" s="7">
        <f>SUMIFS('Лист2'!C:C, 'Лист2'!A:A, A357, 'Лист2'!B:B, B357)</f>
        <v>17</v>
      </c>
      <c r="F357" s="7">
        <f>SUMIFS('Лист2'!D:D, 'Лист2'!A:A, A357, 'Лист2'!B:B, B357)</f>
        <v>857</v>
      </c>
      <c r="G357" s="7">
        <f>SUMIFS('Лист2'!E:E, 'Лист2'!A:A, A357, 'Лист2'!B:B, B357)</f>
        <v>757</v>
      </c>
      <c r="H357" s="8">
        <f t="shared" si="1"/>
        <v>66282.97059</v>
      </c>
      <c r="I357" s="8">
        <f t="shared" si="2"/>
        <v>21</v>
      </c>
    </row>
    <row r="358" ht="14.25" customHeight="1">
      <c r="A358" s="5">
        <v>43968.0</v>
      </c>
      <c r="B358" s="6" t="s">
        <v>23</v>
      </c>
      <c r="C358" s="6">
        <v>13440.0</v>
      </c>
      <c r="D358" s="6">
        <v>1157529.0</v>
      </c>
      <c r="E358" s="7">
        <f>SUMIFS('Лист2'!C:C, 'Лист2'!A:A, A358, 'Лист2'!B:B, B358)</f>
        <v>16</v>
      </c>
      <c r="F358" s="7">
        <f>SUMIFS('Лист2'!D:D, 'Лист2'!A:A, A358, 'Лист2'!B:B, B358)</f>
        <v>859</v>
      </c>
      <c r="G358" s="7">
        <f>SUMIFS('Лист2'!E:E, 'Лист2'!A:A, A358, 'Лист2'!B:B, B358)</f>
        <v>746</v>
      </c>
      <c r="H358" s="8">
        <f t="shared" si="1"/>
        <v>72345.5625</v>
      </c>
      <c r="I358" s="8">
        <f t="shared" si="2"/>
        <v>20</v>
      </c>
    </row>
    <row r="359" ht="14.25" customHeight="1">
      <c r="A359" s="9">
        <v>43960.0</v>
      </c>
      <c r="B359" s="10" t="s">
        <v>23</v>
      </c>
      <c r="C359" s="10">
        <v>11745.0</v>
      </c>
      <c r="D359" s="10">
        <v>955801.5</v>
      </c>
      <c r="E359" s="7">
        <f>SUMIFS('Лист2'!C:C, 'Лист2'!A:A, A359, 'Лист2'!B:B, B359)</f>
        <v>15</v>
      </c>
      <c r="F359" s="7">
        <f>SUMIFS('Лист2'!D:D, 'Лист2'!A:A, A359, 'Лист2'!B:B, B359)</f>
        <v>654</v>
      </c>
      <c r="G359" s="7">
        <f>SUMIFS('Лист2'!E:E, 'Лист2'!A:A, A359, 'Лист2'!B:B, B359)</f>
        <v>570</v>
      </c>
      <c r="H359" s="8">
        <f t="shared" si="1"/>
        <v>63720.1</v>
      </c>
      <c r="I359" s="8">
        <f t="shared" si="2"/>
        <v>19</v>
      </c>
    </row>
    <row r="360" ht="14.25" customHeight="1">
      <c r="A360" s="5">
        <v>43955.0</v>
      </c>
      <c r="B360" s="6" t="s">
        <v>23</v>
      </c>
      <c r="C360" s="6">
        <v>11062.5</v>
      </c>
      <c r="D360" s="6">
        <v>906343.5</v>
      </c>
      <c r="E360" s="7">
        <f>SUMIFS('Лист2'!C:C, 'Лист2'!A:A, A360, 'Лист2'!B:B, B360)</f>
        <v>15</v>
      </c>
      <c r="F360" s="7">
        <f>SUMIFS('Лист2'!D:D, 'Лист2'!A:A, A360, 'Лист2'!B:B, B360)</f>
        <v>622</v>
      </c>
      <c r="G360" s="7">
        <f>SUMIFS('Лист2'!E:E, 'Лист2'!A:A, A360, 'Лист2'!B:B, B360)</f>
        <v>538</v>
      </c>
      <c r="H360" s="8">
        <f t="shared" si="1"/>
        <v>60422.9</v>
      </c>
      <c r="I360" s="8">
        <f t="shared" si="2"/>
        <v>19</v>
      </c>
    </row>
    <row r="361" ht="14.25" customHeight="1">
      <c r="A361" s="9">
        <v>43953.0</v>
      </c>
      <c r="B361" s="10" t="s">
        <v>23</v>
      </c>
      <c r="C361" s="10">
        <v>10018.5</v>
      </c>
      <c r="D361" s="10">
        <v>816859.5</v>
      </c>
      <c r="E361" s="7">
        <f>SUMIFS('Лист2'!C:C, 'Лист2'!A:A, A361, 'Лист2'!B:B, B361)</f>
        <v>15</v>
      </c>
      <c r="F361" s="7">
        <f>SUMIFS('Лист2'!D:D, 'Лист2'!A:A, A361, 'Лист2'!B:B, B361)</f>
        <v>567</v>
      </c>
      <c r="G361" s="7">
        <f>SUMIFS('Лист2'!E:E, 'Лист2'!A:A, A361, 'Лист2'!B:B, B361)</f>
        <v>493</v>
      </c>
      <c r="H361" s="8">
        <f t="shared" si="1"/>
        <v>54457.3</v>
      </c>
      <c r="I361" s="8">
        <f t="shared" si="2"/>
        <v>18</v>
      </c>
    </row>
    <row r="362" ht="14.25" customHeight="1">
      <c r="A362" s="5">
        <v>43977.0</v>
      </c>
      <c r="B362" s="6" t="s">
        <v>24</v>
      </c>
      <c r="C362" s="6">
        <v>10437.0</v>
      </c>
      <c r="D362" s="6">
        <v>833815.5</v>
      </c>
      <c r="E362" s="7">
        <f>SUMIFS('Лист2'!C:C, 'Лист2'!A:A, A362, 'Лист2'!B:B, B362)</f>
        <v>7</v>
      </c>
      <c r="F362" s="7">
        <f>SUMIFS('Лист2'!D:D, 'Лист2'!A:A, A362, 'Лист2'!B:B, B362)</f>
        <v>577</v>
      </c>
      <c r="G362" s="7">
        <f>SUMIFS('Лист2'!E:E, 'Лист2'!A:A, A362, 'Лист2'!B:B, B362)</f>
        <v>389</v>
      </c>
      <c r="H362" s="8">
        <f t="shared" si="1"/>
        <v>119116.5</v>
      </c>
      <c r="I362" s="8">
        <f t="shared" si="2"/>
        <v>22</v>
      </c>
    </row>
    <row r="363" ht="14.25" customHeight="1">
      <c r="A363" s="9">
        <v>43952.0</v>
      </c>
      <c r="B363" s="10" t="s">
        <v>23</v>
      </c>
      <c r="C363" s="10">
        <v>13644.0</v>
      </c>
      <c r="D363" s="10">
        <v>1134444.0</v>
      </c>
      <c r="E363" s="7">
        <f>SUMIFS('Лист2'!C:C, 'Лист2'!A:A, A363, 'Лист2'!B:B, B363)</f>
        <v>15</v>
      </c>
      <c r="F363" s="7">
        <f>SUMIFS('Лист2'!D:D, 'Лист2'!A:A, A363, 'Лист2'!B:B, B363)</f>
        <v>721</v>
      </c>
      <c r="G363" s="7">
        <f>SUMIFS('Лист2'!E:E, 'Лист2'!A:A, A363, 'Лист2'!B:B, B363)</f>
        <v>625</v>
      </c>
      <c r="H363" s="8">
        <f t="shared" si="1"/>
        <v>75629.6</v>
      </c>
      <c r="I363" s="8">
        <f t="shared" si="2"/>
        <v>18</v>
      </c>
    </row>
    <row r="364" ht="14.25" customHeight="1">
      <c r="A364" s="5">
        <v>43963.0</v>
      </c>
      <c r="B364" s="6" t="s">
        <v>23</v>
      </c>
      <c r="C364" s="6">
        <v>13443.0</v>
      </c>
      <c r="D364" s="6">
        <v>1092277.5</v>
      </c>
      <c r="E364" s="7">
        <f>SUMIFS('Лист2'!C:C, 'Лист2'!A:A, A364, 'Лист2'!B:B, B364)</f>
        <v>15</v>
      </c>
      <c r="F364" s="7">
        <f>SUMIFS('Лист2'!D:D, 'Лист2'!A:A, A364, 'Лист2'!B:B, B364)</f>
        <v>750</v>
      </c>
      <c r="G364" s="7">
        <f>SUMIFS('Лист2'!E:E, 'Лист2'!A:A, A364, 'Лист2'!B:B, B364)</f>
        <v>659</v>
      </c>
      <c r="H364" s="8">
        <f t="shared" si="1"/>
        <v>72818.5</v>
      </c>
      <c r="I364" s="8">
        <f t="shared" si="2"/>
        <v>20</v>
      </c>
    </row>
    <row r="365" ht="14.25" customHeight="1">
      <c r="A365" s="9">
        <v>43972.0</v>
      </c>
      <c r="B365" s="10" t="s">
        <v>23</v>
      </c>
      <c r="C365" s="10">
        <v>14182.5</v>
      </c>
      <c r="D365" s="10">
        <v>1172574.0</v>
      </c>
      <c r="E365" s="7">
        <f>SUMIFS('Лист2'!C:C, 'Лист2'!A:A, A365, 'Лист2'!B:B, B365)</f>
        <v>18</v>
      </c>
      <c r="F365" s="7">
        <f>SUMIFS('Лист2'!D:D, 'Лист2'!A:A, A365, 'Лист2'!B:B, B365)</f>
        <v>888</v>
      </c>
      <c r="G365" s="7">
        <f>SUMIFS('Лист2'!E:E, 'Лист2'!A:A, A365, 'Лист2'!B:B, B365)</f>
        <v>786</v>
      </c>
      <c r="H365" s="8">
        <f t="shared" si="1"/>
        <v>65143</v>
      </c>
      <c r="I365" s="8">
        <f t="shared" si="2"/>
        <v>21</v>
      </c>
    </row>
    <row r="366" ht="14.25" customHeight="1">
      <c r="A366" s="5">
        <v>43971.0</v>
      </c>
      <c r="B366" s="6" t="s">
        <v>23</v>
      </c>
      <c r="C366" s="6">
        <v>14928.0</v>
      </c>
      <c r="D366" s="6">
        <v>1217749.5</v>
      </c>
      <c r="E366" s="7">
        <f>SUMIFS('Лист2'!C:C, 'Лист2'!A:A, A366, 'Лист2'!B:B, B366)</f>
        <v>17</v>
      </c>
      <c r="F366" s="7">
        <f>SUMIFS('Лист2'!D:D, 'Лист2'!A:A, A366, 'Лист2'!B:B, B366)</f>
        <v>890</v>
      </c>
      <c r="G366" s="7">
        <f>SUMIFS('Лист2'!E:E, 'Лист2'!A:A, A366, 'Лист2'!B:B, B366)</f>
        <v>794</v>
      </c>
      <c r="H366" s="8">
        <f t="shared" si="1"/>
        <v>71632.32353</v>
      </c>
      <c r="I366" s="8">
        <f t="shared" si="2"/>
        <v>21</v>
      </c>
    </row>
    <row r="367" ht="14.25" customHeight="1">
      <c r="A367" s="9">
        <v>43956.0</v>
      </c>
      <c r="B367" s="10" t="s">
        <v>23</v>
      </c>
      <c r="C367" s="10">
        <v>13941.0</v>
      </c>
      <c r="D367" s="10">
        <v>1145575.5</v>
      </c>
      <c r="E367" s="7">
        <f>SUMIFS('Лист2'!C:C, 'Лист2'!A:A, A367, 'Лист2'!B:B, B367)</f>
        <v>15</v>
      </c>
      <c r="F367" s="7">
        <f>SUMIFS('Лист2'!D:D, 'Лист2'!A:A, A367, 'Лист2'!B:B, B367)</f>
        <v>750</v>
      </c>
      <c r="G367" s="7">
        <f>SUMIFS('Лист2'!E:E, 'Лист2'!A:A, A367, 'Лист2'!B:B, B367)</f>
        <v>658</v>
      </c>
      <c r="H367" s="8">
        <f t="shared" si="1"/>
        <v>76371.7</v>
      </c>
      <c r="I367" s="8">
        <f t="shared" si="2"/>
        <v>19</v>
      </c>
    </row>
    <row r="368" ht="14.25" customHeight="1">
      <c r="A368" s="5">
        <v>43964.0</v>
      </c>
      <c r="B368" s="6" t="s">
        <v>23</v>
      </c>
      <c r="C368" s="6">
        <v>14643.0</v>
      </c>
      <c r="D368" s="6">
        <v>1172691.0</v>
      </c>
      <c r="E368" s="7">
        <f>SUMIFS('Лист2'!C:C, 'Лист2'!A:A, A368, 'Лист2'!B:B, B368)</f>
        <v>15</v>
      </c>
      <c r="F368" s="7">
        <f>SUMIFS('Лист2'!D:D, 'Лист2'!A:A, A368, 'Лист2'!B:B, B368)</f>
        <v>854</v>
      </c>
      <c r="G368" s="7">
        <f>SUMIFS('Лист2'!E:E, 'Лист2'!A:A, A368, 'Лист2'!B:B, B368)</f>
        <v>756</v>
      </c>
      <c r="H368" s="8">
        <f t="shared" si="1"/>
        <v>78179.4</v>
      </c>
      <c r="I368" s="8">
        <f t="shared" si="2"/>
        <v>20</v>
      </c>
    </row>
    <row r="369" ht="14.25" customHeight="1">
      <c r="A369" s="9">
        <v>43954.0</v>
      </c>
      <c r="B369" s="10" t="s">
        <v>23</v>
      </c>
      <c r="C369" s="10">
        <v>10032.0</v>
      </c>
      <c r="D369" s="10">
        <v>816150.0</v>
      </c>
      <c r="E369" s="7">
        <f>SUMIFS('Лист2'!C:C, 'Лист2'!A:A, A369, 'Лист2'!B:B, B369)</f>
        <v>15</v>
      </c>
      <c r="F369" s="7">
        <f>SUMIFS('Лист2'!D:D, 'Лист2'!A:A, A369, 'Лист2'!B:B, B369)</f>
        <v>585</v>
      </c>
      <c r="G369" s="7">
        <f>SUMIFS('Лист2'!E:E, 'Лист2'!A:A, A369, 'Лист2'!B:B, B369)</f>
        <v>502</v>
      </c>
      <c r="H369" s="8">
        <f t="shared" si="1"/>
        <v>54410</v>
      </c>
      <c r="I369" s="8">
        <f t="shared" si="2"/>
        <v>18</v>
      </c>
    </row>
    <row r="370" ht="14.25" customHeight="1">
      <c r="A370" s="5">
        <v>43957.0</v>
      </c>
      <c r="B370" s="6" t="s">
        <v>23</v>
      </c>
      <c r="C370" s="6">
        <v>12468.0</v>
      </c>
      <c r="D370" s="6">
        <v>1016566.5</v>
      </c>
      <c r="E370" s="7">
        <f>SUMIFS('Лист2'!C:C, 'Лист2'!A:A, A370, 'Лист2'!B:B, B370)</f>
        <v>15</v>
      </c>
      <c r="F370" s="7">
        <f>SUMIFS('Лист2'!D:D, 'Лист2'!A:A, A370, 'Лист2'!B:B, B370)</f>
        <v>701</v>
      </c>
      <c r="G370" s="7">
        <f>SUMIFS('Лист2'!E:E, 'Лист2'!A:A, A370, 'Лист2'!B:B, B370)</f>
        <v>611</v>
      </c>
      <c r="H370" s="8">
        <f t="shared" si="1"/>
        <v>67771.1</v>
      </c>
      <c r="I370" s="8">
        <f t="shared" si="2"/>
        <v>19</v>
      </c>
    </row>
    <row r="371" ht="14.25" customHeight="1">
      <c r="A371" s="9">
        <v>43974.0</v>
      </c>
      <c r="B371" s="10" t="s">
        <v>23</v>
      </c>
      <c r="C371" s="10">
        <v>17943.0</v>
      </c>
      <c r="D371" s="10">
        <v>1457391.0</v>
      </c>
      <c r="E371" s="7">
        <f>SUMIFS('Лист2'!C:C, 'Лист2'!A:A, A371, 'Лист2'!B:B, B371)</f>
        <v>18</v>
      </c>
      <c r="F371" s="7">
        <f>SUMIFS('Лист2'!D:D, 'Лист2'!A:A, A371, 'Лист2'!B:B, B371)</f>
        <v>1031</v>
      </c>
      <c r="G371" s="7">
        <f>SUMIFS('Лист2'!E:E, 'Лист2'!A:A, A371, 'Лист2'!B:B, B371)</f>
        <v>918</v>
      </c>
      <c r="H371" s="8">
        <f t="shared" si="1"/>
        <v>80966.16667</v>
      </c>
      <c r="I371" s="8">
        <f t="shared" si="2"/>
        <v>21</v>
      </c>
    </row>
    <row r="372" ht="14.25" customHeight="1">
      <c r="A372" s="5">
        <v>43976.0</v>
      </c>
      <c r="B372" s="6" t="s">
        <v>23</v>
      </c>
      <c r="C372" s="6">
        <v>15807.0</v>
      </c>
      <c r="D372" s="6">
        <v>1326705.0</v>
      </c>
      <c r="E372" s="7">
        <f>SUMIFS('Лист2'!C:C, 'Лист2'!A:A, A372, 'Лист2'!B:B, B372)</f>
        <v>18</v>
      </c>
      <c r="F372" s="7">
        <f>SUMIFS('Лист2'!D:D, 'Лист2'!A:A, A372, 'Лист2'!B:B, B372)</f>
        <v>989</v>
      </c>
      <c r="G372" s="7">
        <f>SUMIFS('Лист2'!E:E, 'Лист2'!A:A, A372, 'Лист2'!B:B, B372)</f>
        <v>887</v>
      </c>
      <c r="H372" s="8">
        <f t="shared" si="1"/>
        <v>73705.83333</v>
      </c>
      <c r="I372" s="8">
        <f t="shared" si="2"/>
        <v>22</v>
      </c>
    </row>
    <row r="373" ht="14.25" customHeight="1">
      <c r="A373" s="9">
        <v>43951.0</v>
      </c>
      <c r="B373" s="10" t="s">
        <v>23</v>
      </c>
      <c r="C373" s="10">
        <v>11976.0</v>
      </c>
      <c r="D373" s="10">
        <v>1004511.0</v>
      </c>
      <c r="E373" s="7">
        <f>SUMIFS('Лист2'!C:C, 'Лист2'!A:A, A373, 'Лист2'!B:B, B373)</f>
        <v>15</v>
      </c>
      <c r="F373" s="7">
        <f>SUMIFS('Лист2'!D:D, 'Лист2'!A:A, A373, 'Лист2'!B:B, B373)</f>
        <v>644</v>
      </c>
      <c r="G373" s="7">
        <f>SUMIFS('Лист2'!E:E, 'Лист2'!A:A, A373, 'Лист2'!B:B, B373)</f>
        <v>550</v>
      </c>
      <c r="H373" s="8">
        <f t="shared" si="1"/>
        <v>66967.4</v>
      </c>
      <c r="I373" s="8">
        <f t="shared" si="2"/>
        <v>18</v>
      </c>
    </row>
    <row r="374" ht="14.25" customHeight="1">
      <c r="A374" s="5">
        <v>43961.0</v>
      </c>
      <c r="B374" s="6" t="s">
        <v>23</v>
      </c>
      <c r="C374" s="6">
        <v>14566.5</v>
      </c>
      <c r="D374" s="6">
        <v>1216557.0</v>
      </c>
      <c r="E374" s="7">
        <f>SUMIFS('Лист2'!C:C, 'Лист2'!A:A, A374, 'Лист2'!B:B, B374)</f>
        <v>15</v>
      </c>
      <c r="F374" s="7">
        <f>SUMIFS('Лист2'!D:D, 'Лист2'!A:A, A374, 'Лист2'!B:B, B374)</f>
        <v>792</v>
      </c>
      <c r="G374" s="7">
        <f>SUMIFS('Лист2'!E:E, 'Лист2'!A:A, A374, 'Лист2'!B:B, B374)</f>
        <v>695</v>
      </c>
      <c r="H374" s="8">
        <f t="shared" si="1"/>
        <v>81103.8</v>
      </c>
      <c r="I374" s="8">
        <f t="shared" si="2"/>
        <v>19</v>
      </c>
    </row>
    <row r="375" ht="14.25" customHeight="1">
      <c r="A375" s="9">
        <v>43959.0</v>
      </c>
      <c r="B375" s="10" t="s">
        <v>23</v>
      </c>
      <c r="C375" s="10">
        <v>12976.5</v>
      </c>
      <c r="D375" s="10">
        <v>1046848.5</v>
      </c>
      <c r="E375" s="7">
        <f>SUMIFS('Лист2'!C:C, 'Лист2'!A:A, A375, 'Лист2'!B:B, B375)</f>
        <v>15</v>
      </c>
      <c r="F375" s="7">
        <f>SUMIFS('Лист2'!D:D, 'Лист2'!A:A, A375, 'Лист2'!B:B, B375)</f>
        <v>703</v>
      </c>
      <c r="G375" s="7">
        <f>SUMIFS('Лист2'!E:E, 'Лист2'!A:A, A375, 'Лист2'!B:B, B375)</f>
        <v>609</v>
      </c>
      <c r="H375" s="8">
        <f t="shared" si="1"/>
        <v>69789.9</v>
      </c>
      <c r="I375" s="8">
        <f t="shared" si="2"/>
        <v>19</v>
      </c>
    </row>
    <row r="376" ht="14.25" customHeight="1">
      <c r="A376" s="5">
        <v>43958.0</v>
      </c>
      <c r="B376" s="6" t="s">
        <v>23</v>
      </c>
      <c r="C376" s="6">
        <v>11719.5</v>
      </c>
      <c r="D376" s="6">
        <v>965880.0</v>
      </c>
      <c r="E376" s="7">
        <f>SUMIFS('Лист2'!C:C, 'Лист2'!A:A, A376, 'Лист2'!B:B, B376)</f>
        <v>15</v>
      </c>
      <c r="F376" s="7">
        <f>SUMIFS('Лист2'!D:D, 'Лист2'!A:A, A376, 'Лист2'!B:B, B376)</f>
        <v>676</v>
      </c>
      <c r="G376" s="7">
        <f>SUMIFS('Лист2'!E:E, 'Лист2'!A:A, A376, 'Лист2'!B:B, B376)</f>
        <v>591</v>
      </c>
      <c r="H376" s="8">
        <f t="shared" si="1"/>
        <v>64392</v>
      </c>
      <c r="I376" s="8">
        <f t="shared" si="2"/>
        <v>19</v>
      </c>
    </row>
    <row r="377" ht="14.25" customHeight="1">
      <c r="A377" s="9">
        <v>43975.0</v>
      </c>
      <c r="B377" s="10" t="s">
        <v>23</v>
      </c>
      <c r="C377" s="10">
        <v>17197.5</v>
      </c>
      <c r="D377" s="10">
        <v>1386262.5</v>
      </c>
      <c r="E377" s="7">
        <f>SUMIFS('Лист2'!C:C, 'Лист2'!A:A, A377, 'Лист2'!B:B, B377)</f>
        <v>18</v>
      </c>
      <c r="F377" s="7">
        <f>SUMIFS('Лист2'!D:D, 'Лист2'!A:A, A377, 'Лист2'!B:B, B377)</f>
        <v>1006</v>
      </c>
      <c r="G377" s="7">
        <f>SUMIFS('Лист2'!E:E, 'Лист2'!A:A, A377, 'Лист2'!B:B, B377)</f>
        <v>904</v>
      </c>
      <c r="H377" s="8">
        <f t="shared" si="1"/>
        <v>77014.58333</v>
      </c>
      <c r="I377" s="8">
        <f t="shared" si="2"/>
        <v>21</v>
      </c>
    </row>
    <row r="378" ht="14.25" customHeight="1">
      <c r="A378" s="5">
        <v>43977.0</v>
      </c>
      <c r="B378" s="6" t="s">
        <v>23</v>
      </c>
      <c r="C378" s="6">
        <v>14419.5</v>
      </c>
      <c r="D378" s="6">
        <v>1210456.5</v>
      </c>
      <c r="E378" s="7">
        <f>SUMIFS('Лист2'!C:C, 'Лист2'!A:A, A378, 'Лист2'!B:B, B378)</f>
        <v>18</v>
      </c>
      <c r="F378" s="7">
        <f>SUMIFS('Лист2'!D:D, 'Лист2'!A:A, A378, 'Лист2'!B:B, B378)</f>
        <v>914</v>
      </c>
      <c r="G378" s="7">
        <f>SUMIFS('Лист2'!E:E, 'Лист2'!A:A, A378, 'Лист2'!B:B, B378)</f>
        <v>804</v>
      </c>
      <c r="H378" s="8">
        <f t="shared" si="1"/>
        <v>67247.58333</v>
      </c>
      <c r="I378" s="8">
        <f t="shared" si="2"/>
        <v>22</v>
      </c>
    </row>
    <row r="379" ht="14.25" customHeight="1">
      <c r="A379" s="9">
        <v>43983.0</v>
      </c>
      <c r="B379" s="10" t="s">
        <v>9</v>
      </c>
      <c r="C379" s="10">
        <v>7816.5</v>
      </c>
      <c r="D379" s="10">
        <v>636345.0</v>
      </c>
      <c r="E379" s="7">
        <f>SUMIFS('Лист2'!C:C, 'Лист2'!A:A, A379, 'Лист2'!B:B, B379)</f>
        <v>15</v>
      </c>
      <c r="F379" s="7">
        <f>SUMIFS('Лист2'!D:D, 'Лист2'!A:A, A379, 'Лист2'!B:B, B379)</f>
        <v>453</v>
      </c>
      <c r="G379" s="7">
        <f>SUMIFS('Лист2'!E:E, 'Лист2'!A:A, A379, 'Лист2'!B:B, B379)</f>
        <v>370</v>
      </c>
      <c r="H379" s="8">
        <f t="shared" si="1"/>
        <v>42423</v>
      </c>
      <c r="I379" s="8">
        <f t="shared" si="2"/>
        <v>23</v>
      </c>
    </row>
    <row r="380" ht="14.25" customHeight="1">
      <c r="A380" s="5">
        <v>43982.0</v>
      </c>
      <c r="B380" s="6" t="s">
        <v>25</v>
      </c>
      <c r="C380" s="6">
        <v>6409.5</v>
      </c>
      <c r="D380" s="6">
        <v>493893.0</v>
      </c>
      <c r="E380" s="7">
        <f>SUMIFS('Лист2'!C:C, 'Лист2'!A:A, A380, 'Лист2'!B:B, B380)</f>
        <v>9</v>
      </c>
      <c r="F380" s="7">
        <f>SUMIFS('Лист2'!D:D, 'Лист2'!A:A, A380, 'Лист2'!B:B, B380)</f>
        <v>345</v>
      </c>
      <c r="G380" s="7">
        <f>SUMIFS('Лист2'!E:E, 'Лист2'!A:A, A380, 'Лист2'!B:B, B380)</f>
        <v>255</v>
      </c>
      <c r="H380" s="8">
        <f t="shared" si="1"/>
        <v>54877</v>
      </c>
      <c r="I380" s="8">
        <f t="shared" si="2"/>
        <v>22</v>
      </c>
    </row>
    <row r="381" ht="14.25" customHeight="1">
      <c r="A381" s="9">
        <v>43981.0</v>
      </c>
      <c r="B381" s="10" t="s">
        <v>24</v>
      </c>
      <c r="C381" s="10">
        <v>11220.0</v>
      </c>
      <c r="D381" s="10">
        <v>928675.5</v>
      </c>
      <c r="E381" s="7">
        <f>SUMIFS('Лист2'!C:C, 'Лист2'!A:A, A381, 'Лист2'!B:B, B381)</f>
        <v>7</v>
      </c>
      <c r="F381" s="7">
        <f>SUMIFS('Лист2'!D:D, 'Лист2'!A:A, A381, 'Лист2'!B:B, B381)</f>
        <v>532</v>
      </c>
      <c r="G381" s="7">
        <f>SUMIFS('Лист2'!E:E, 'Лист2'!A:A, A381, 'Лист2'!B:B, B381)</f>
        <v>449</v>
      </c>
      <c r="H381" s="8">
        <f t="shared" si="1"/>
        <v>132667.9286</v>
      </c>
      <c r="I381" s="8">
        <f t="shared" si="2"/>
        <v>22</v>
      </c>
    </row>
    <row r="382" ht="14.25" customHeight="1">
      <c r="A382" s="5">
        <v>43980.0</v>
      </c>
      <c r="B382" s="6" t="s">
        <v>9</v>
      </c>
      <c r="C382" s="6">
        <v>8350.5</v>
      </c>
      <c r="D382" s="6">
        <v>651237.0</v>
      </c>
      <c r="E382" s="7">
        <f>SUMIFS('Лист2'!C:C, 'Лист2'!A:A, A382, 'Лист2'!B:B, B382)</f>
        <v>15</v>
      </c>
      <c r="F382" s="7">
        <f>SUMIFS('Лист2'!D:D, 'Лист2'!A:A, A382, 'Лист2'!B:B, B382)</f>
        <v>400</v>
      </c>
      <c r="G382" s="7">
        <f>SUMIFS('Лист2'!E:E, 'Лист2'!A:A, A382, 'Лист2'!B:B, B382)</f>
        <v>329</v>
      </c>
      <c r="H382" s="8">
        <f t="shared" si="1"/>
        <v>43415.8</v>
      </c>
      <c r="I382" s="8">
        <f t="shared" si="2"/>
        <v>22</v>
      </c>
    </row>
    <row r="383" ht="14.25" customHeight="1">
      <c r="A383" s="9">
        <v>43979.0</v>
      </c>
      <c r="B383" s="10" t="s">
        <v>24</v>
      </c>
      <c r="C383" s="10">
        <v>8428.5</v>
      </c>
      <c r="D383" s="10">
        <v>694669.5</v>
      </c>
      <c r="E383" s="7">
        <f>SUMIFS('Лист2'!C:C, 'Лист2'!A:A, A383, 'Лист2'!B:B, B383)</f>
        <v>7</v>
      </c>
      <c r="F383" s="7">
        <f>SUMIFS('Лист2'!D:D, 'Лист2'!A:A, A383, 'Лист2'!B:B, B383)</f>
        <v>420</v>
      </c>
      <c r="G383" s="7">
        <f>SUMIFS('Лист2'!E:E, 'Лист2'!A:A, A383, 'Лист2'!B:B, B383)</f>
        <v>347</v>
      </c>
      <c r="H383" s="8">
        <f t="shared" si="1"/>
        <v>99238.5</v>
      </c>
      <c r="I383" s="8">
        <f t="shared" si="2"/>
        <v>22</v>
      </c>
    </row>
    <row r="384" ht="14.25" customHeight="1">
      <c r="A384" s="5">
        <v>43978.0</v>
      </c>
      <c r="B384" s="6" t="s">
        <v>10</v>
      </c>
      <c r="C384" s="6">
        <v>32817.0</v>
      </c>
      <c r="D384" s="6">
        <v>3015751.5</v>
      </c>
      <c r="E384" s="7">
        <f>SUMIFS('Лист2'!C:C, 'Лист2'!A:A, A384, 'Лист2'!B:B, B384)</f>
        <v>20</v>
      </c>
      <c r="F384" s="7">
        <f>SUMIFS('Лист2'!D:D, 'Лист2'!A:A, A384, 'Лист2'!B:B, B384)</f>
        <v>2079</v>
      </c>
      <c r="G384" s="7">
        <f>SUMIFS('Лист2'!E:E, 'Лист2'!A:A, A384, 'Лист2'!B:B, B384)</f>
        <v>1893</v>
      </c>
      <c r="H384" s="8">
        <f t="shared" si="1"/>
        <v>150787.575</v>
      </c>
      <c r="I384" s="8">
        <f t="shared" si="2"/>
        <v>22</v>
      </c>
    </row>
    <row r="385" ht="14.25" customHeight="1">
      <c r="A385" s="9">
        <v>43973.0</v>
      </c>
      <c r="B385" s="10" t="s">
        <v>10</v>
      </c>
      <c r="C385" s="10">
        <v>36031.5</v>
      </c>
      <c r="D385" s="10">
        <v>3091069.5</v>
      </c>
      <c r="E385" s="7">
        <f>SUMIFS('Лист2'!C:C, 'Лист2'!A:A, A385, 'Лист2'!B:B, B385)</f>
        <v>21</v>
      </c>
      <c r="F385" s="7">
        <f>SUMIFS('Лист2'!D:D, 'Лист2'!A:A, A385, 'Лист2'!B:B, B385)</f>
        <v>2046</v>
      </c>
      <c r="G385" s="7">
        <f>SUMIFS('Лист2'!E:E, 'Лист2'!A:A, A385, 'Лист2'!B:B, B385)</f>
        <v>1853</v>
      </c>
      <c r="H385" s="8">
        <f t="shared" si="1"/>
        <v>147193.7857</v>
      </c>
      <c r="I385" s="8">
        <f t="shared" si="2"/>
        <v>21</v>
      </c>
    </row>
    <row r="386" ht="14.25" customHeight="1">
      <c r="A386" s="5">
        <v>43982.0</v>
      </c>
      <c r="B386" s="6" t="s">
        <v>26</v>
      </c>
      <c r="C386" s="6">
        <v>5127.0</v>
      </c>
      <c r="D386" s="6">
        <v>468835.5</v>
      </c>
      <c r="E386" s="7">
        <f>SUMIFS('Лист2'!C:C, 'Лист2'!A:A, A386, 'Лист2'!B:B, B386)</f>
        <v>6</v>
      </c>
      <c r="F386" s="7">
        <f>SUMIFS('Лист2'!D:D, 'Лист2'!A:A, A386, 'Лист2'!B:B, B386)</f>
        <v>261</v>
      </c>
      <c r="G386" s="7">
        <f>SUMIFS('Лист2'!E:E, 'Лист2'!A:A, A386, 'Лист2'!B:B, B386)</f>
        <v>188</v>
      </c>
      <c r="H386" s="8">
        <f t="shared" si="1"/>
        <v>78139.25</v>
      </c>
      <c r="I386" s="8">
        <f t="shared" si="2"/>
        <v>22</v>
      </c>
    </row>
    <row r="387" ht="14.25" customHeight="1">
      <c r="A387" s="9">
        <v>43962.0</v>
      </c>
      <c r="B387" s="10" t="s">
        <v>10</v>
      </c>
      <c r="C387" s="10">
        <v>27187.5</v>
      </c>
      <c r="D387" s="10">
        <v>2479396.5</v>
      </c>
      <c r="E387" s="7">
        <f>SUMIFS('Лист2'!C:C, 'Лист2'!A:A, A387, 'Лист2'!B:B, B387)</f>
        <v>21</v>
      </c>
      <c r="F387" s="7">
        <f>SUMIFS('Лист2'!D:D, 'Лист2'!A:A, A387, 'Лист2'!B:B, B387)</f>
        <v>1597</v>
      </c>
      <c r="G387" s="7">
        <f>SUMIFS('Лист2'!E:E, 'Лист2'!A:A, A387, 'Лист2'!B:B, B387)</f>
        <v>1457</v>
      </c>
      <c r="H387" s="8">
        <f t="shared" si="1"/>
        <v>118066.5</v>
      </c>
      <c r="I387" s="8">
        <f t="shared" si="2"/>
        <v>20</v>
      </c>
    </row>
    <row r="388" ht="14.25" customHeight="1">
      <c r="A388" s="5">
        <v>43981.0</v>
      </c>
      <c r="B388" s="6" t="s">
        <v>23</v>
      </c>
      <c r="C388" s="6">
        <v>20688.0</v>
      </c>
      <c r="D388" s="6">
        <v>1773154.5</v>
      </c>
      <c r="E388" s="7">
        <f>SUMIFS('Лист2'!C:C, 'Лист2'!A:A, A388, 'Лист2'!B:B, B388)</f>
        <v>18</v>
      </c>
      <c r="F388" s="7">
        <f>SUMIFS('Лист2'!D:D, 'Лист2'!A:A, A388, 'Лист2'!B:B, B388)</f>
        <v>1216</v>
      </c>
      <c r="G388" s="7">
        <f>SUMIFS('Лист2'!E:E, 'Лист2'!A:A, A388, 'Лист2'!B:B, B388)</f>
        <v>1101</v>
      </c>
      <c r="H388" s="8">
        <f t="shared" si="1"/>
        <v>98508.58333</v>
      </c>
      <c r="I388" s="8">
        <f t="shared" si="2"/>
        <v>22</v>
      </c>
    </row>
    <row r="389" ht="14.25" customHeight="1">
      <c r="A389" s="9">
        <v>43979.0</v>
      </c>
      <c r="B389" s="10" t="s">
        <v>23</v>
      </c>
      <c r="C389" s="10">
        <v>15678.0</v>
      </c>
      <c r="D389" s="10">
        <v>1387443.0</v>
      </c>
      <c r="E389" s="7">
        <f>SUMIFS('Лист2'!C:C, 'Лист2'!A:A, A389, 'Лист2'!B:B, B389)</f>
        <v>18</v>
      </c>
      <c r="F389" s="7">
        <f>SUMIFS('Лист2'!D:D, 'Лист2'!A:A, A389, 'Лист2'!B:B, B389)</f>
        <v>1020</v>
      </c>
      <c r="G389" s="7">
        <f>SUMIFS('Лист2'!E:E, 'Лист2'!A:A, A389, 'Лист2'!B:B, B389)</f>
        <v>911</v>
      </c>
      <c r="H389" s="8">
        <f t="shared" si="1"/>
        <v>77080.16667</v>
      </c>
      <c r="I389" s="8">
        <f t="shared" si="2"/>
        <v>22</v>
      </c>
    </row>
    <row r="390" ht="14.25" customHeight="1">
      <c r="A390" s="5">
        <v>43969.0</v>
      </c>
      <c r="B390" s="6" t="s">
        <v>10</v>
      </c>
      <c r="C390" s="6">
        <v>31329.0</v>
      </c>
      <c r="D390" s="6">
        <v>2826379.5</v>
      </c>
      <c r="E390" s="7">
        <f>SUMIFS('Лист2'!C:C, 'Лист2'!A:A, A390, 'Лист2'!B:B, B390)</f>
        <v>21</v>
      </c>
      <c r="F390" s="7">
        <f>SUMIFS('Лист2'!D:D, 'Лист2'!A:A, A390, 'Лист2'!B:B, B390)</f>
        <v>1834</v>
      </c>
      <c r="G390" s="7">
        <f>SUMIFS('Лист2'!E:E, 'Лист2'!A:A, A390, 'Лист2'!B:B, B390)</f>
        <v>1660</v>
      </c>
      <c r="H390" s="8">
        <f t="shared" si="1"/>
        <v>134589.5</v>
      </c>
      <c r="I390" s="8">
        <f t="shared" si="2"/>
        <v>21</v>
      </c>
    </row>
    <row r="391" ht="14.25" customHeight="1">
      <c r="A391" s="9">
        <v>43965.0</v>
      </c>
      <c r="B391" s="10" t="s">
        <v>10</v>
      </c>
      <c r="C391" s="10">
        <v>29658.0</v>
      </c>
      <c r="D391" s="10">
        <v>2703132.0</v>
      </c>
      <c r="E391" s="7">
        <f>SUMIFS('Лист2'!C:C, 'Лист2'!A:A, A391, 'Лист2'!B:B, B391)</f>
        <v>21</v>
      </c>
      <c r="F391" s="7">
        <f>SUMIFS('Лист2'!D:D, 'Лист2'!A:A, A391, 'Лист2'!B:B, B391)</f>
        <v>1706</v>
      </c>
      <c r="G391" s="7">
        <f>SUMIFS('Лист2'!E:E, 'Лист2'!A:A, A391, 'Лист2'!B:B, B391)</f>
        <v>1548</v>
      </c>
      <c r="H391" s="8">
        <f t="shared" si="1"/>
        <v>128720.5714</v>
      </c>
      <c r="I391" s="8">
        <f t="shared" si="2"/>
        <v>20</v>
      </c>
    </row>
    <row r="392" ht="14.25" customHeight="1">
      <c r="A392" s="5">
        <v>43966.0</v>
      </c>
      <c r="B392" s="6" t="s">
        <v>10</v>
      </c>
      <c r="C392" s="6">
        <v>34150.5</v>
      </c>
      <c r="D392" s="6">
        <v>3038293.5</v>
      </c>
      <c r="E392" s="7">
        <f>SUMIFS('Лист2'!C:C, 'Лист2'!A:A, A392, 'Лист2'!B:B, B392)</f>
        <v>21</v>
      </c>
      <c r="F392" s="7">
        <f>SUMIFS('Лист2'!D:D, 'Лист2'!A:A, A392, 'Лист2'!B:B, B392)</f>
        <v>1926</v>
      </c>
      <c r="G392" s="7">
        <f>SUMIFS('Лист2'!E:E, 'Лист2'!A:A, A392, 'Лист2'!B:B, B392)</f>
        <v>1742</v>
      </c>
      <c r="H392" s="8">
        <f t="shared" si="1"/>
        <v>144680.6429</v>
      </c>
      <c r="I392" s="8">
        <f t="shared" si="2"/>
        <v>20</v>
      </c>
    </row>
    <row r="393" ht="14.25" customHeight="1">
      <c r="A393" s="9">
        <v>43983.0</v>
      </c>
      <c r="B393" s="10" t="s">
        <v>10</v>
      </c>
      <c r="C393" s="10">
        <v>31947.0</v>
      </c>
      <c r="D393" s="10">
        <v>2945035.5</v>
      </c>
      <c r="E393" s="7">
        <f>SUMIFS('Лист2'!C:C, 'Лист2'!A:A, A393, 'Лист2'!B:B, B393)</f>
        <v>21</v>
      </c>
      <c r="F393" s="7">
        <f>SUMIFS('Лист2'!D:D, 'Лист2'!A:A, A393, 'Лист2'!B:B, B393)</f>
        <v>2025</v>
      </c>
      <c r="G393" s="7">
        <f>SUMIFS('Лист2'!E:E, 'Лист2'!A:A, A393, 'Лист2'!B:B, B393)</f>
        <v>1849</v>
      </c>
      <c r="H393" s="8">
        <f t="shared" si="1"/>
        <v>140239.7857</v>
      </c>
      <c r="I393" s="8">
        <f t="shared" si="2"/>
        <v>23</v>
      </c>
    </row>
    <row r="394" ht="14.25" customHeight="1">
      <c r="A394" s="5">
        <v>43982.0</v>
      </c>
      <c r="B394" s="6" t="s">
        <v>24</v>
      </c>
      <c r="C394" s="6">
        <v>10416.0</v>
      </c>
      <c r="D394" s="6">
        <v>866023.5</v>
      </c>
      <c r="E394" s="7">
        <f>SUMIFS('Лист2'!C:C, 'Лист2'!A:A, A394, 'Лист2'!B:B, B394)</f>
        <v>7</v>
      </c>
      <c r="F394" s="7">
        <f>SUMIFS('Лист2'!D:D, 'Лист2'!A:A, A394, 'Лист2'!B:B, B394)</f>
        <v>530</v>
      </c>
      <c r="G394" s="7">
        <f>SUMIFS('Лист2'!E:E, 'Лист2'!A:A, A394, 'Лист2'!B:B, B394)</f>
        <v>447</v>
      </c>
      <c r="H394" s="8">
        <f t="shared" si="1"/>
        <v>123717.6429</v>
      </c>
      <c r="I394" s="8">
        <f t="shared" si="2"/>
        <v>22</v>
      </c>
    </row>
    <row r="395" ht="14.25" customHeight="1">
      <c r="A395" s="9">
        <v>43980.0</v>
      </c>
      <c r="B395" s="10" t="s">
        <v>10</v>
      </c>
      <c r="C395" s="10">
        <v>35431.5</v>
      </c>
      <c r="D395" s="10">
        <v>3193167.0</v>
      </c>
      <c r="E395" s="7">
        <f>SUMIFS('Лист2'!C:C, 'Лист2'!A:A, A395, 'Лист2'!B:B, B395)</f>
        <v>20</v>
      </c>
      <c r="F395" s="7">
        <f>SUMIFS('Лист2'!D:D, 'Лист2'!A:A, A395, 'Лист2'!B:B, B395)</f>
        <v>2111</v>
      </c>
      <c r="G395" s="7">
        <f>SUMIFS('Лист2'!E:E, 'Лист2'!A:A, A395, 'Лист2'!B:B, B395)</f>
        <v>1917</v>
      </c>
      <c r="H395" s="8">
        <f t="shared" si="1"/>
        <v>159658.35</v>
      </c>
      <c r="I395" s="8">
        <f t="shared" si="2"/>
        <v>22</v>
      </c>
    </row>
    <row r="396" ht="14.25" customHeight="1">
      <c r="A396" s="5">
        <v>43978.0</v>
      </c>
      <c r="B396" s="6" t="s">
        <v>11</v>
      </c>
      <c r="C396" s="6">
        <v>78544.5</v>
      </c>
      <c r="D396" s="6">
        <v>6701083.5</v>
      </c>
      <c r="E396" s="7">
        <f>SUMIFS('Лист2'!C:C, 'Лист2'!A:A, A396, 'Лист2'!B:B, B396)</f>
        <v>31</v>
      </c>
      <c r="F396" s="7">
        <f>SUMIFS('Лист2'!D:D, 'Лист2'!A:A, A396, 'Лист2'!B:B, B396)</f>
        <v>5330</v>
      </c>
      <c r="G396" s="7">
        <f>SUMIFS('Лист2'!E:E, 'Лист2'!A:A, A396, 'Лист2'!B:B, B396)</f>
        <v>4977</v>
      </c>
      <c r="H396" s="8">
        <f t="shared" si="1"/>
        <v>216163.9839</v>
      </c>
      <c r="I396" s="8">
        <f t="shared" si="2"/>
        <v>22</v>
      </c>
    </row>
    <row r="397" ht="14.25" customHeight="1">
      <c r="A397" s="9">
        <v>43973.0</v>
      </c>
      <c r="B397" s="10" t="s">
        <v>11</v>
      </c>
      <c r="C397" s="10">
        <v>97963.5</v>
      </c>
      <c r="D397" s="10">
        <v>7728465.0</v>
      </c>
      <c r="E397" s="7">
        <f>SUMIFS('Лист2'!C:C, 'Лист2'!A:A, A397, 'Лист2'!B:B, B397)</f>
        <v>31</v>
      </c>
      <c r="F397" s="7">
        <f>SUMIFS('Лист2'!D:D, 'Лист2'!A:A, A397, 'Лист2'!B:B, B397)</f>
        <v>5965</v>
      </c>
      <c r="G397" s="7">
        <f>SUMIFS('Лист2'!E:E, 'Лист2'!A:A, A397, 'Лист2'!B:B, B397)</f>
        <v>5533</v>
      </c>
      <c r="H397" s="8">
        <f t="shared" si="1"/>
        <v>249305.3226</v>
      </c>
      <c r="I397" s="8">
        <f t="shared" si="2"/>
        <v>21</v>
      </c>
    </row>
    <row r="398" ht="14.25" customHeight="1">
      <c r="A398" s="5">
        <v>43983.0</v>
      </c>
      <c r="B398" s="6" t="s">
        <v>11</v>
      </c>
      <c r="C398" s="6">
        <v>77269.5</v>
      </c>
      <c r="D398" s="6">
        <v>6829921.5</v>
      </c>
      <c r="E398" s="7">
        <f>SUMIFS('Лист2'!C:C, 'Лист2'!A:A, A398, 'Лист2'!B:B, B398)</f>
        <v>31</v>
      </c>
      <c r="F398" s="7">
        <f>SUMIFS('Лист2'!D:D, 'Лист2'!A:A, A398, 'Лист2'!B:B, B398)</f>
        <v>5468</v>
      </c>
      <c r="G398" s="7">
        <f>SUMIFS('Лист2'!E:E, 'Лист2'!A:A, A398, 'Лист2'!B:B, B398)</f>
        <v>5081</v>
      </c>
      <c r="H398" s="8">
        <f t="shared" si="1"/>
        <v>220320.0484</v>
      </c>
      <c r="I398" s="8">
        <f t="shared" si="2"/>
        <v>23</v>
      </c>
    </row>
    <row r="399" ht="14.25" customHeight="1">
      <c r="A399" s="9">
        <v>43982.0</v>
      </c>
      <c r="B399" s="10" t="s">
        <v>23</v>
      </c>
      <c r="C399" s="10">
        <v>16143.0</v>
      </c>
      <c r="D399" s="10">
        <v>1423410.0</v>
      </c>
      <c r="E399" s="7">
        <f>SUMIFS('Лист2'!C:C, 'Лист2'!A:A, A399, 'Лист2'!B:B, B399)</f>
        <v>18</v>
      </c>
      <c r="F399" s="7">
        <f>SUMIFS('Лист2'!D:D, 'Лист2'!A:A, A399, 'Лист2'!B:B, B399)</f>
        <v>1029</v>
      </c>
      <c r="G399" s="7">
        <f>SUMIFS('Лист2'!E:E, 'Лист2'!A:A, A399, 'Лист2'!B:B, B399)</f>
        <v>925</v>
      </c>
      <c r="H399" s="8">
        <f t="shared" si="1"/>
        <v>79078.33333</v>
      </c>
      <c r="I399" s="8">
        <f t="shared" si="2"/>
        <v>22</v>
      </c>
    </row>
    <row r="400" ht="14.25" customHeight="1">
      <c r="A400" s="5">
        <v>43962.0</v>
      </c>
      <c r="B400" s="6" t="s">
        <v>11</v>
      </c>
      <c r="C400" s="6">
        <v>72220.5</v>
      </c>
      <c r="D400" s="6">
        <v>6398719.5</v>
      </c>
      <c r="E400" s="7">
        <f>SUMIFS('Лист2'!C:C, 'Лист2'!A:A, A400, 'Лист2'!B:B, B400)</f>
        <v>31</v>
      </c>
      <c r="F400" s="7">
        <f>SUMIFS('Лист2'!D:D, 'Лист2'!A:A, A400, 'Лист2'!B:B, B400)</f>
        <v>4826</v>
      </c>
      <c r="G400" s="7">
        <f>SUMIFS('Лист2'!E:E, 'Лист2'!A:A, A400, 'Лист2'!B:B, B400)</f>
        <v>4483</v>
      </c>
      <c r="H400" s="8">
        <f t="shared" si="1"/>
        <v>206410.3065</v>
      </c>
      <c r="I400" s="8">
        <f t="shared" si="2"/>
        <v>20</v>
      </c>
    </row>
    <row r="401" ht="14.25" customHeight="1">
      <c r="A401" s="9">
        <v>43969.0</v>
      </c>
      <c r="B401" s="10" t="s">
        <v>11</v>
      </c>
      <c r="C401" s="10">
        <v>78058.5</v>
      </c>
      <c r="D401" s="10">
        <v>6609714.0</v>
      </c>
      <c r="E401" s="7">
        <f>SUMIFS('Лист2'!C:C, 'Лист2'!A:A, A401, 'Лист2'!B:B, B401)</f>
        <v>31</v>
      </c>
      <c r="F401" s="7">
        <f>SUMIFS('Лист2'!D:D, 'Лист2'!A:A, A401, 'Лист2'!B:B, B401)</f>
        <v>5165</v>
      </c>
      <c r="G401" s="7">
        <f>SUMIFS('Лист2'!E:E, 'Лист2'!A:A, A401, 'Лист2'!B:B, B401)</f>
        <v>4813</v>
      </c>
      <c r="H401" s="8">
        <f t="shared" si="1"/>
        <v>213216.5806</v>
      </c>
      <c r="I401" s="8">
        <f t="shared" si="2"/>
        <v>21</v>
      </c>
    </row>
    <row r="402" ht="14.25" customHeight="1">
      <c r="A402" s="5">
        <v>43965.0</v>
      </c>
      <c r="B402" s="6" t="s">
        <v>11</v>
      </c>
      <c r="C402" s="6">
        <v>70498.5</v>
      </c>
      <c r="D402" s="6">
        <v>6053649.0</v>
      </c>
      <c r="E402" s="7">
        <f>SUMIFS('Лист2'!C:C, 'Лист2'!A:A, A402, 'Лист2'!B:B, B402)</f>
        <v>31</v>
      </c>
      <c r="F402" s="7">
        <f>SUMIFS('Лист2'!D:D, 'Лист2'!A:A, A402, 'Лист2'!B:B, B402)</f>
        <v>4695</v>
      </c>
      <c r="G402" s="7">
        <f>SUMIFS('Лист2'!E:E, 'Лист2'!A:A, A402, 'Лист2'!B:B, B402)</f>
        <v>4372</v>
      </c>
      <c r="H402" s="8">
        <f t="shared" si="1"/>
        <v>195279</v>
      </c>
      <c r="I402" s="8">
        <f t="shared" si="2"/>
        <v>20</v>
      </c>
    </row>
    <row r="403" ht="14.25" customHeight="1">
      <c r="A403" s="9">
        <v>43966.0</v>
      </c>
      <c r="B403" s="10" t="s">
        <v>11</v>
      </c>
      <c r="C403" s="10">
        <v>78961.5</v>
      </c>
      <c r="D403" s="10">
        <v>6876454.5</v>
      </c>
      <c r="E403" s="7">
        <f>SUMIFS('Лист2'!C:C, 'Лист2'!A:A, A403, 'Лист2'!B:B, B403)</f>
        <v>31</v>
      </c>
      <c r="F403" s="7">
        <f>SUMIFS('Лист2'!D:D, 'Лист2'!A:A, A403, 'Лист2'!B:B, B403)</f>
        <v>5184</v>
      </c>
      <c r="G403" s="7">
        <f>SUMIFS('Лист2'!E:E, 'Лист2'!A:A, A403, 'Лист2'!B:B, B403)</f>
        <v>4778</v>
      </c>
      <c r="H403" s="8">
        <f t="shared" si="1"/>
        <v>221821.1129</v>
      </c>
      <c r="I403" s="8">
        <f t="shared" si="2"/>
        <v>20</v>
      </c>
    </row>
    <row r="404" ht="14.25" customHeight="1">
      <c r="A404" s="5">
        <v>43978.0</v>
      </c>
      <c r="B404" s="6" t="s">
        <v>12</v>
      </c>
      <c r="C404" s="6">
        <v>12490.5</v>
      </c>
      <c r="D404" s="6">
        <v>1054798.5</v>
      </c>
      <c r="E404" s="7">
        <f>SUMIFS('Лист2'!C:C, 'Лист2'!A:A, A404, 'Лист2'!B:B, B404)</f>
        <v>10</v>
      </c>
      <c r="F404" s="7">
        <f>SUMIFS('Лист2'!D:D, 'Лист2'!A:A, A404, 'Лист2'!B:B, B404)</f>
        <v>757</v>
      </c>
      <c r="G404" s="7">
        <f>SUMIFS('Лист2'!E:E, 'Лист2'!A:A, A404, 'Лист2'!B:B, B404)</f>
        <v>660</v>
      </c>
      <c r="H404" s="8">
        <f t="shared" si="1"/>
        <v>105479.85</v>
      </c>
      <c r="I404" s="8">
        <f t="shared" si="2"/>
        <v>22</v>
      </c>
    </row>
    <row r="405" ht="14.25" customHeight="1">
      <c r="A405" s="9">
        <v>43973.0</v>
      </c>
      <c r="B405" s="10" t="s">
        <v>12</v>
      </c>
      <c r="C405" s="10">
        <v>18036.0</v>
      </c>
      <c r="D405" s="10">
        <v>1455049.5</v>
      </c>
      <c r="E405" s="7">
        <f>SUMIFS('Лист2'!C:C, 'Лист2'!A:A, A405, 'Лист2'!B:B, B405)</f>
        <v>10</v>
      </c>
      <c r="F405" s="7">
        <f>SUMIFS('Лист2'!D:D, 'Лист2'!A:A, A405, 'Лист2'!B:B, B405)</f>
        <v>965</v>
      </c>
      <c r="G405" s="7">
        <f>SUMIFS('Лист2'!E:E, 'Лист2'!A:A, A405, 'Лист2'!B:B, B405)</f>
        <v>861</v>
      </c>
      <c r="H405" s="8">
        <f t="shared" si="1"/>
        <v>145504.95</v>
      </c>
      <c r="I405" s="8">
        <f t="shared" si="2"/>
        <v>21</v>
      </c>
    </row>
    <row r="406" ht="14.25" customHeight="1">
      <c r="A406" s="5">
        <v>43983.0</v>
      </c>
      <c r="B406" s="6" t="s">
        <v>12</v>
      </c>
      <c r="C406" s="6">
        <v>11416.5</v>
      </c>
      <c r="D406" s="6">
        <v>1007742.0</v>
      </c>
      <c r="E406" s="7">
        <f>SUMIFS('Лист2'!C:C, 'Лист2'!A:A, A406, 'Лист2'!B:B, B406)</f>
        <v>10</v>
      </c>
      <c r="F406" s="7">
        <f>SUMIFS('Лист2'!D:D, 'Лист2'!A:A, A406, 'Лист2'!B:B, B406)</f>
        <v>719</v>
      </c>
      <c r="G406" s="7">
        <f>SUMIFS('Лист2'!E:E, 'Лист2'!A:A, A406, 'Лист2'!B:B, B406)</f>
        <v>627</v>
      </c>
      <c r="H406" s="8">
        <f t="shared" si="1"/>
        <v>100774.2</v>
      </c>
      <c r="I406" s="8">
        <f t="shared" si="2"/>
        <v>23</v>
      </c>
    </row>
    <row r="407" ht="14.25" customHeight="1">
      <c r="A407" s="9">
        <v>43962.0</v>
      </c>
      <c r="B407" s="10" t="s">
        <v>12</v>
      </c>
      <c r="C407" s="10">
        <v>9007.5</v>
      </c>
      <c r="D407" s="10">
        <v>734335.5</v>
      </c>
      <c r="E407" s="7">
        <f>SUMIFS('Лист2'!C:C, 'Лист2'!A:A, A407, 'Лист2'!B:B, B407)</f>
        <v>10</v>
      </c>
      <c r="F407" s="7">
        <f>SUMIFS('Лист2'!D:D, 'Лист2'!A:A, A407, 'Лист2'!B:B, B407)</f>
        <v>494</v>
      </c>
      <c r="G407" s="7">
        <f>SUMIFS('Лист2'!E:E, 'Лист2'!A:A, A407, 'Лист2'!B:B, B407)</f>
        <v>421</v>
      </c>
      <c r="H407" s="8">
        <f t="shared" si="1"/>
        <v>73433.55</v>
      </c>
      <c r="I407" s="8">
        <f t="shared" si="2"/>
        <v>20</v>
      </c>
    </row>
    <row r="408" ht="14.25" customHeight="1">
      <c r="A408" s="5">
        <v>43980.0</v>
      </c>
      <c r="B408" s="6" t="s">
        <v>11</v>
      </c>
      <c r="C408" s="6">
        <v>87552.0</v>
      </c>
      <c r="D408" s="6">
        <v>7387116.0</v>
      </c>
      <c r="E408" s="7">
        <f>SUMIFS('Лист2'!C:C, 'Лист2'!A:A, A408, 'Лист2'!B:B, B408)</f>
        <v>31</v>
      </c>
      <c r="F408" s="7">
        <f>SUMIFS('Лист2'!D:D, 'Лист2'!A:A, A408, 'Лист2'!B:B, B408)</f>
        <v>5751</v>
      </c>
      <c r="G408" s="7">
        <f>SUMIFS('Лист2'!E:E, 'Лист2'!A:A, A408, 'Лист2'!B:B, B408)</f>
        <v>5319</v>
      </c>
      <c r="H408" s="8">
        <f t="shared" si="1"/>
        <v>238294.0645</v>
      </c>
      <c r="I408" s="8">
        <f t="shared" si="2"/>
        <v>22</v>
      </c>
    </row>
    <row r="409" ht="14.25" customHeight="1">
      <c r="A409" s="9">
        <v>43969.0</v>
      </c>
      <c r="B409" s="10" t="s">
        <v>12</v>
      </c>
      <c r="C409" s="10">
        <v>11680.5</v>
      </c>
      <c r="D409" s="10">
        <v>936427.5</v>
      </c>
      <c r="E409" s="7">
        <f>SUMIFS('Лист2'!C:C, 'Лист2'!A:A, A409, 'Лист2'!B:B, B409)</f>
        <v>10</v>
      </c>
      <c r="F409" s="7">
        <f>SUMIFS('Лист2'!D:D, 'Лист2'!A:A, A409, 'Лист2'!B:B, B409)</f>
        <v>645</v>
      </c>
      <c r="G409" s="7">
        <f>SUMIFS('Лист2'!E:E, 'Лист2'!A:A, A409, 'Лист2'!B:B, B409)</f>
        <v>565</v>
      </c>
      <c r="H409" s="8">
        <f t="shared" si="1"/>
        <v>93642.75</v>
      </c>
      <c r="I409" s="8">
        <f t="shared" si="2"/>
        <v>21</v>
      </c>
    </row>
    <row r="410" ht="14.25" customHeight="1">
      <c r="A410" s="5">
        <v>43965.0</v>
      </c>
      <c r="B410" s="6" t="s">
        <v>12</v>
      </c>
      <c r="C410" s="6">
        <v>12037.5</v>
      </c>
      <c r="D410" s="6">
        <v>981564.0</v>
      </c>
      <c r="E410" s="7">
        <f>SUMIFS('Лист2'!C:C, 'Лист2'!A:A, A410, 'Лист2'!B:B, B410)</f>
        <v>10</v>
      </c>
      <c r="F410" s="7">
        <f>SUMIFS('Лист2'!D:D, 'Лист2'!A:A, A410, 'Лист2'!B:B, B410)</f>
        <v>627</v>
      </c>
      <c r="G410" s="7">
        <f>SUMIFS('Лист2'!E:E, 'Лист2'!A:A, A410, 'Лист2'!B:B, B410)</f>
        <v>545</v>
      </c>
      <c r="H410" s="8">
        <f t="shared" si="1"/>
        <v>98156.4</v>
      </c>
      <c r="I410" s="8">
        <f t="shared" si="2"/>
        <v>20</v>
      </c>
    </row>
    <row r="411" ht="14.25" customHeight="1">
      <c r="A411" s="9">
        <v>43966.0</v>
      </c>
      <c r="B411" s="10" t="s">
        <v>12</v>
      </c>
      <c r="C411" s="10">
        <v>14421.0</v>
      </c>
      <c r="D411" s="10">
        <v>1150579.5</v>
      </c>
      <c r="E411" s="7">
        <f>SUMIFS('Лист2'!C:C, 'Лист2'!A:A, A411, 'Лист2'!B:B, B411)</f>
        <v>10</v>
      </c>
      <c r="F411" s="7">
        <f>SUMIFS('Лист2'!D:D, 'Лист2'!A:A, A411, 'Лист2'!B:B, B411)</f>
        <v>743</v>
      </c>
      <c r="G411" s="7">
        <f>SUMIFS('Лист2'!E:E, 'Лист2'!A:A, A411, 'Лист2'!B:B, B411)</f>
        <v>652</v>
      </c>
      <c r="H411" s="8">
        <f t="shared" si="1"/>
        <v>115057.95</v>
      </c>
      <c r="I411" s="8">
        <f t="shared" si="2"/>
        <v>20</v>
      </c>
    </row>
    <row r="412" ht="14.25" customHeight="1">
      <c r="A412" s="5">
        <v>43980.0</v>
      </c>
      <c r="B412" s="6" t="s">
        <v>12</v>
      </c>
      <c r="C412" s="6">
        <v>14823.0</v>
      </c>
      <c r="D412" s="6">
        <v>1273464.0</v>
      </c>
      <c r="E412" s="7">
        <f>SUMIFS('Лист2'!C:C, 'Лист2'!A:A, A412, 'Лист2'!B:B, B412)</f>
        <v>10</v>
      </c>
      <c r="F412" s="7">
        <f>SUMIFS('Лист2'!D:D, 'Лист2'!A:A, A412, 'Лист2'!B:B, B412)</f>
        <v>873</v>
      </c>
      <c r="G412" s="7">
        <f>SUMIFS('Лист2'!E:E, 'Лист2'!A:A, A412, 'Лист2'!B:B, B412)</f>
        <v>770</v>
      </c>
      <c r="H412" s="8">
        <f t="shared" si="1"/>
        <v>127346.4</v>
      </c>
      <c r="I412" s="8">
        <f t="shared" si="2"/>
        <v>22</v>
      </c>
    </row>
    <row r="413" ht="14.25" customHeight="1">
      <c r="A413" s="9">
        <v>43978.0</v>
      </c>
      <c r="B413" s="10" t="s">
        <v>13</v>
      </c>
      <c r="C413" s="10">
        <v>31257.0</v>
      </c>
      <c r="D413" s="10">
        <v>2924133.0</v>
      </c>
      <c r="E413" s="7">
        <f>SUMIFS('Лист2'!C:C, 'Лист2'!A:A, A413, 'Лист2'!B:B, B413)</f>
        <v>20</v>
      </c>
      <c r="F413" s="7">
        <f>SUMIFS('Лист2'!D:D, 'Лист2'!A:A, A413, 'Лист2'!B:B, B413)</f>
        <v>2079</v>
      </c>
      <c r="G413" s="7">
        <f>SUMIFS('Лист2'!E:E, 'Лист2'!A:A, A413, 'Лист2'!B:B, B413)</f>
        <v>1856</v>
      </c>
      <c r="H413" s="8">
        <f t="shared" si="1"/>
        <v>146206.65</v>
      </c>
      <c r="I413" s="8">
        <f t="shared" si="2"/>
        <v>22</v>
      </c>
    </row>
    <row r="414" ht="14.25" customHeight="1">
      <c r="A414" s="5">
        <v>43973.0</v>
      </c>
      <c r="B414" s="6" t="s">
        <v>13</v>
      </c>
      <c r="C414" s="6">
        <v>38074.5</v>
      </c>
      <c r="D414" s="6">
        <v>3414180.0</v>
      </c>
      <c r="E414" s="7">
        <f>SUMIFS('Лист2'!C:C, 'Лист2'!A:A, A414, 'Лист2'!B:B, B414)</f>
        <v>20</v>
      </c>
      <c r="F414" s="7">
        <f>SUMIFS('Лист2'!D:D, 'Лист2'!A:A, A414, 'Лист2'!B:B, B414)</f>
        <v>2306</v>
      </c>
      <c r="G414" s="7">
        <f>SUMIFS('Лист2'!E:E, 'Лист2'!A:A, A414, 'Лист2'!B:B, B414)</f>
        <v>2054</v>
      </c>
      <c r="H414" s="8">
        <f t="shared" si="1"/>
        <v>170709</v>
      </c>
      <c r="I414" s="8">
        <f t="shared" si="2"/>
        <v>21</v>
      </c>
    </row>
    <row r="415" ht="14.25" customHeight="1">
      <c r="A415" s="9">
        <v>43983.0</v>
      </c>
      <c r="B415" s="10" t="s">
        <v>13</v>
      </c>
      <c r="C415" s="10">
        <v>32170.5</v>
      </c>
      <c r="D415" s="10">
        <v>3013512.0</v>
      </c>
      <c r="E415" s="7">
        <f>SUMIFS('Лист2'!C:C, 'Лист2'!A:A, A415, 'Лист2'!B:B, B415)</f>
        <v>20</v>
      </c>
      <c r="F415" s="7">
        <f>SUMIFS('Лист2'!D:D, 'Лист2'!A:A, A415, 'Лист2'!B:B, B415)</f>
        <v>2136</v>
      </c>
      <c r="G415" s="7">
        <f>SUMIFS('Лист2'!E:E, 'Лист2'!A:A, A415, 'Лист2'!B:B, B415)</f>
        <v>1899</v>
      </c>
      <c r="H415" s="8">
        <f t="shared" si="1"/>
        <v>150675.6</v>
      </c>
      <c r="I415" s="8">
        <f t="shared" si="2"/>
        <v>23</v>
      </c>
    </row>
    <row r="416" ht="14.25" customHeight="1">
      <c r="A416" s="5">
        <v>43962.0</v>
      </c>
      <c r="B416" s="6" t="s">
        <v>13</v>
      </c>
      <c r="C416" s="6">
        <v>42397.5</v>
      </c>
      <c r="D416" s="6">
        <v>3911979.0</v>
      </c>
      <c r="E416" s="7">
        <f>SUMIFS('Лист2'!C:C, 'Лист2'!A:A, A416, 'Лист2'!B:B, B416)</f>
        <v>19</v>
      </c>
      <c r="F416" s="7">
        <f>SUMIFS('Лист2'!D:D, 'Лист2'!A:A, A416, 'Лист2'!B:B, B416)</f>
        <v>2530</v>
      </c>
      <c r="G416" s="7">
        <f>SUMIFS('Лист2'!E:E, 'Лист2'!A:A, A416, 'Лист2'!B:B, B416)</f>
        <v>2270</v>
      </c>
      <c r="H416" s="8">
        <f t="shared" si="1"/>
        <v>205893.6316</v>
      </c>
      <c r="I416" s="8">
        <f t="shared" si="2"/>
        <v>20</v>
      </c>
    </row>
    <row r="417" ht="14.25" customHeight="1">
      <c r="A417" s="9">
        <v>43969.0</v>
      </c>
      <c r="B417" s="10" t="s">
        <v>13</v>
      </c>
      <c r="C417" s="10">
        <v>28668.0</v>
      </c>
      <c r="D417" s="10">
        <v>2588148.0</v>
      </c>
      <c r="E417" s="7">
        <f>SUMIFS('Лист2'!C:C, 'Лист2'!A:A, A417, 'Лист2'!B:B, B417)</f>
        <v>19</v>
      </c>
      <c r="F417" s="7">
        <f>SUMIFS('Лист2'!D:D, 'Лист2'!A:A, A417, 'Лист2'!B:B, B417)</f>
        <v>1858</v>
      </c>
      <c r="G417" s="7">
        <f>SUMIFS('Лист2'!E:E, 'Лист2'!A:A, A417, 'Лист2'!B:B, B417)</f>
        <v>1648</v>
      </c>
      <c r="H417" s="8">
        <f t="shared" si="1"/>
        <v>136218.3158</v>
      </c>
      <c r="I417" s="8">
        <f t="shared" si="2"/>
        <v>21</v>
      </c>
    </row>
    <row r="418" ht="14.25" customHeight="1">
      <c r="A418" s="5">
        <v>43965.0</v>
      </c>
      <c r="B418" s="6" t="s">
        <v>13</v>
      </c>
      <c r="C418" s="6">
        <v>27411.0</v>
      </c>
      <c r="D418" s="6">
        <v>2441520.0</v>
      </c>
      <c r="E418" s="7">
        <f>SUMIFS('Лист2'!C:C, 'Лист2'!A:A, A418, 'Лист2'!B:B, B418)</f>
        <v>19</v>
      </c>
      <c r="F418" s="7">
        <f>SUMIFS('Лист2'!D:D, 'Лист2'!A:A, A418, 'Лист2'!B:B, B418)</f>
        <v>1675</v>
      </c>
      <c r="G418" s="7">
        <f>SUMIFS('Лист2'!E:E, 'Лист2'!A:A, A418, 'Лист2'!B:B, B418)</f>
        <v>1475</v>
      </c>
      <c r="H418" s="8">
        <f t="shared" si="1"/>
        <v>128501.0526</v>
      </c>
      <c r="I418" s="8">
        <f t="shared" si="2"/>
        <v>20</v>
      </c>
    </row>
    <row r="419" ht="14.25" customHeight="1">
      <c r="A419" s="9">
        <v>43966.0</v>
      </c>
      <c r="B419" s="10" t="s">
        <v>13</v>
      </c>
      <c r="C419" s="10">
        <v>32854.5</v>
      </c>
      <c r="D419" s="10">
        <v>2949078.0</v>
      </c>
      <c r="E419" s="7">
        <f>SUMIFS('Лист2'!C:C, 'Лист2'!A:A, A419, 'Лист2'!B:B, B419)</f>
        <v>19</v>
      </c>
      <c r="F419" s="7">
        <f>SUMIFS('Лист2'!D:D, 'Лист2'!A:A, A419, 'Лист2'!B:B, B419)</f>
        <v>1940</v>
      </c>
      <c r="G419" s="7">
        <f>SUMIFS('Лист2'!E:E, 'Лист2'!A:A, A419, 'Лист2'!B:B, B419)</f>
        <v>1715</v>
      </c>
      <c r="H419" s="8">
        <f t="shared" si="1"/>
        <v>155214.6316</v>
      </c>
      <c r="I419" s="8">
        <f t="shared" si="2"/>
        <v>20</v>
      </c>
    </row>
    <row r="420" ht="14.25" customHeight="1">
      <c r="A420" s="5">
        <v>43980.0</v>
      </c>
      <c r="B420" s="6" t="s">
        <v>13</v>
      </c>
      <c r="C420" s="6">
        <v>35346.0</v>
      </c>
      <c r="D420" s="6">
        <v>3258054.0</v>
      </c>
      <c r="E420" s="7">
        <f>SUMIFS('Лист2'!C:C, 'Лист2'!A:A, A420, 'Лист2'!B:B, B420)</f>
        <v>20</v>
      </c>
      <c r="F420" s="7">
        <f>SUMIFS('Лист2'!D:D, 'Лист2'!A:A, A420, 'Лист2'!B:B, B420)</f>
        <v>2249</v>
      </c>
      <c r="G420" s="7">
        <f>SUMIFS('Лист2'!E:E, 'Лист2'!A:A, A420, 'Лист2'!B:B, B420)</f>
        <v>2000</v>
      </c>
      <c r="H420" s="8">
        <f t="shared" si="1"/>
        <v>162902.7</v>
      </c>
      <c r="I420" s="8">
        <f t="shared" si="2"/>
        <v>22</v>
      </c>
    </row>
    <row r="421" ht="14.25" customHeight="1">
      <c r="A421" s="9">
        <v>43978.0</v>
      </c>
      <c r="B421" s="10" t="s">
        <v>14</v>
      </c>
      <c r="C421" s="10">
        <v>286558.5</v>
      </c>
      <c r="D421" s="10">
        <v>2.9256993E7</v>
      </c>
      <c r="E421" s="7">
        <f>SUMIFS('Лист2'!C:C, 'Лист2'!A:A, A421, 'Лист2'!B:B, B421)</f>
        <v>129</v>
      </c>
      <c r="F421" s="7">
        <f>SUMIFS('Лист2'!D:D, 'Лист2'!A:A, A421, 'Лист2'!B:B, B421)</f>
        <v>17115</v>
      </c>
      <c r="G421" s="7">
        <f>SUMIFS('Лист2'!E:E, 'Лист2'!A:A, A421, 'Лист2'!B:B, B421)</f>
        <v>15962</v>
      </c>
      <c r="H421" s="8">
        <f t="shared" si="1"/>
        <v>226798.3953</v>
      </c>
      <c r="I421" s="8">
        <f t="shared" si="2"/>
        <v>22</v>
      </c>
    </row>
    <row r="422" ht="14.25" customHeight="1">
      <c r="A422" s="5">
        <v>43973.0</v>
      </c>
      <c r="B422" s="6" t="s">
        <v>14</v>
      </c>
      <c r="C422" s="6">
        <v>304092.0</v>
      </c>
      <c r="D422" s="6">
        <v>2.9465769E7</v>
      </c>
      <c r="E422" s="7">
        <f>SUMIFS('Лист2'!C:C, 'Лист2'!A:A, A422, 'Лист2'!B:B, B422)</f>
        <v>129</v>
      </c>
      <c r="F422" s="7">
        <f>SUMIFS('Лист2'!D:D, 'Лист2'!A:A, A422, 'Лист2'!B:B, B422)</f>
        <v>17088</v>
      </c>
      <c r="G422" s="7">
        <f>SUMIFS('Лист2'!E:E, 'Лист2'!A:A, A422, 'Лист2'!B:B, B422)</f>
        <v>15804</v>
      </c>
      <c r="H422" s="8">
        <f t="shared" si="1"/>
        <v>228416.814</v>
      </c>
      <c r="I422" s="8">
        <f t="shared" si="2"/>
        <v>21</v>
      </c>
    </row>
    <row r="423" ht="14.25" customHeight="1">
      <c r="A423" s="9">
        <v>43983.0</v>
      </c>
      <c r="B423" s="10" t="s">
        <v>14</v>
      </c>
      <c r="C423" s="10">
        <v>272926.5</v>
      </c>
      <c r="D423" s="10">
        <v>2.77700925E7</v>
      </c>
      <c r="E423" s="7">
        <f>SUMIFS('Лист2'!C:C, 'Лист2'!A:A, A423, 'Лист2'!B:B, B423)</f>
        <v>128</v>
      </c>
      <c r="F423" s="7">
        <f>SUMIFS('Лист2'!D:D, 'Лист2'!A:A, A423, 'Лист2'!B:B, B423)</f>
        <v>16285</v>
      </c>
      <c r="G423" s="7">
        <f>SUMIFS('Лист2'!E:E, 'Лист2'!A:A, A423, 'Лист2'!B:B, B423)</f>
        <v>15130</v>
      </c>
      <c r="H423" s="8">
        <f t="shared" si="1"/>
        <v>216953.8477</v>
      </c>
      <c r="I423" s="8">
        <f t="shared" si="2"/>
        <v>23</v>
      </c>
    </row>
    <row r="424" ht="14.25" customHeight="1">
      <c r="A424" s="5">
        <v>43962.0</v>
      </c>
      <c r="B424" s="6" t="s">
        <v>14</v>
      </c>
      <c r="C424" s="6">
        <v>237099.0</v>
      </c>
      <c r="D424" s="6">
        <v>2.462823322395E7</v>
      </c>
      <c r="E424" s="7">
        <f>SUMIFS('Лист2'!C:C, 'Лист2'!A:A, A424, 'Лист2'!B:B, B424)</f>
        <v>129</v>
      </c>
      <c r="F424" s="7">
        <f>SUMIFS('Лист2'!D:D, 'Лист2'!A:A, A424, 'Лист2'!B:B, B424)</f>
        <v>14043</v>
      </c>
      <c r="G424" s="7">
        <f>SUMIFS('Лист2'!E:E, 'Лист2'!A:A, A424, 'Лист2'!B:B, B424)</f>
        <v>13167</v>
      </c>
      <c r="H424" s="8">
        <f t="shared" si="1"/>
        <v>190916.5366</v>
      </c>
      <c r="I424" s="8">
        <f t="shared" si="2"/>
        <v>20</v>
      </c>
    </row>
    <row r="425" ht="14.25" customHeight="1">
      <c r="A425" s="9">
        <v>43969.0</v>
      </c>
      <c r="B425" s="10" t="s">
        <v>14</v>
      </c>
      <c r="C425" s="10">
        <v>273900.0</v>
      </c>
      <c r="D425" s="10">
        <v>2.7535284147600003E7</v>
      </c>
      <c r="E425" s="7">
        <f>SUMIFS('Лист2'!C:C, 'Лист2'!A:A, A425, 'Лист2'!B:B, B425)</f>
        <v>129</v>
      </c>
      <c r="F425" s="7">
        <f>SUMIFS('Лист2'!D:D, 'Лист2'!A:A, A425, 'Лист2'!B:B, B425)</f>
        <v>16110</v>
      </c>
      <c r="G425" s="7">
        <f>SUMIFS('Лист2'!E:E, 'Лист2'!A:A, A425, 'Лист2'!B:B, B425)</f>
        <v>14992</v>
      </c>
      <c r="H425" s="8">
        <f t="shared" si="1"/>
        <v>213451.8151</v>
      </c>
      <c r="I425" s="8">
        <f t="shared" si="2"/>
        <v>21</v>
      </c>
    </row>
    <row r="426" ht="14.25" customHeight="1">
      <c r="A426" s="5">
        <v>43965.0</v>
      </c>
      <c r="B426" s="6" t="s">
        <v>14</v>
      </c>
      <c r="C426" s="6">
        <v>274059.0</v>
      </c>
      <c r="D426" s="6">
        <v>2.8181292E7</v>
      </c>
      <c r="E426" s="7">
        <f>SUMIFS('Лист2'!C:C, 'Лист2'!A:A, A426, 'Лист2'!B:B, B426)</f>
        <v>129</v>
      </c>
      <c r="F426" s="7">
        <f>SUMIFS('Лист2'!D:D, 'Лист2'!A:A, A426, 'Лист2'!B:B, B426)</f>
        <v>15804</v>
      </c>
      <c r="G426" s="7">
        <f>SUMIFS('Лист2'!E:E, 'Лист2'!A:A, A426, 'Лист2'!B:B, B426)</f>
        <v>14738</v>
      </c>
      <c r="H426" s="8">
        <f t="shared" si="1"/>
        <v>218459.6279</v>
      </c>
      <c r="I426" s="8">
        <f t="shared" si="2"/>
        <v>20</v>
      </c>
    </row>
    <row r="427" ht="14.25" customHeight="1">
      <c r="A427" s="9">
        <v>43966.0</v>
      </c>
      <c r="B427" s="10" t="s">
        <v>14</v>
      </c>
      <c r="C427" s="10">
        <v>318816.0</v>
      </c>
      <c r="D427" s="10">
        <v>3.2354331E7</v>
      </c>
      <c r="E427" s="7">
        <f>SUMIFS('Лист2'!C:C, 'Лист2'!A:A, A427, 'Лист2'!B:B, B427)</f>
        <v>129</v>
      </c>
      <c r="F427" s="7">
        <f>SUMIFS('Лист2'!D:D, 'Лист2'!A:A, A427, 'Лист2'!B:B, B427)</f>
        <v>17808</v>
      </c>
      <c r="G427" s="7">
        <f>SUMIFS('Лист2'!E:E, 'Лист2'!A:A, A427, 'Лист2'!B:B, B427)</f>
        <v>16486</v>
      </c>
      <c r="H427" s="8">
        <f t="shared" si="1"/>
        <v>250808.7674</v>
      </c>
      <c r="I427" s="8">
        <f t="shared" si="2"/>
        <v>20</v>
      </c>
    </row>
    <row r="428" ht="14.25" customHeight="1">
      <c r="A428" s="5">
        <v>43978.0</v>
      </c>
      <c r="B428" s="6" t="s">
        <v>15</v>
      </c>
      <c r="C428" s="6">
        <v>370012.5</v>
      </c>
      <c r="D428" s="6">
        <v>3.90348615E7</v>
      </c>
      <c r="E428" s="7">
        <f>SUMIFS('Лист2'!C:C, 'Лист2'!A:A, A428, 'Лист2'!B:B, B428)</f>
        <v>124</v>
      </c>
      <c r="F428" s="7">
        <f>SUMIFS('Лист2'!D:D, 'Лист2'!A:A, A428, 'Лист2'!B:B, B428)</f>
        <v>21384</v>
      </c>
      <c r="G428" s="7">
        <f>SUMIFS('Лист2'!E:E, 'Лист2'!A:A, A428, 'Лист2'!B:B, B428)</f>
        <v>19897</v>
      </c>
      <c r="H428" s="8">
        <f t="shared" si="1"/>
        <v>314797.2702</v>
      </c>
      <c r="I428" s="8">
        <f t="shared" si="2"/>
        <v>22</v>
      </c>
    </row>
    <row r="429" ht="14.25" customHeight="1">
      <c r="A429" s="9">
        <v>43973.0</v>
      </c>
      <c r="B429" s="10" t="s">
        <v>15</v>
      </c>
      <c r="C429" s="10">
        <v>393018.0</v>
      </c>
      <c r="D429" s="10">
        <v>3.94983735E7</v>
      </c>
      <c r="E429" s="7">
        <f>SUMIFS('Лист2'!C:C, 'Лист2'!A:A, A429, 'Лист2'!B:B, B429)</f>
        <v>125</v>
      </c>
      <c r="F429" s="7">
        <f>SUMIFS('Лист2'!D:D, 'Лист2'!A:A, A429, 'Лист2'!B:B, B429)</f>
        <v>21427</v>
      </c>
      <c r="G429" s="7">
        <f>SUMIFS('Лист2'!E:E, 'Лист2'!A:A, A429, 'Лист2'!B:B, B429)</f>
        <v>19799</v>
      </c>
      <c r="H429" s="8">
        <f t="shared" si="1"/>
        <v>315986.988</v>
      </c>
      <c r="I429" s="8">
        <f t="shared" si="2"/>
        <v>21</v>
      </c>
    </row>
    <row r="430" ht="14.25" customHeight="1">
      <c r="A430" s="5">
        <v>43983.0</v>
      </c>
      <c r="B430" s="6" t="s">
        <v>15</v>
      </c>
      <c r="C430" s="6">
        <v>349699.5</v>
      </c>
      <c r="D430" s="6">
        <v>3.725784018135E7</v>
      </c>
      <c r="E430" s="7">
        <f>SUMIFS('Лист2'!C:C, 'Лист2'!A:A, A430, 'Лист2'!B:B, B430)</f>
        <v>123</v>
      </c>
      <c r="F430" s="7">
        <f>SUMIFS('Лист2'!D:D, 'Лист2'!A:A, A430, 'Лист2'!B:B, B430)</f>
        <v>20325</v>
      </c>
      <c r="G430" s="7">
        <f>SUMIFS('Лист2'!E:E, 'Лист2'!A:A, A430, 'Лист2'!B:B, B430)</f>
        <v>18935</v>
      </c>
      <c r="H430" s="8">
        <f t="shared" si="1"/>
        <v>302909.2698</v>
      </c>
      <c r="I430" s="8">
        <f t="shared" si="2"/>
        <v>23</v>
      </c>
    </row>
    <row r="431" ht="14.25" customHeight="1">
      <c r="A431" s="9">
        <v>43962.0</v>
      </c>
      <c r="B431" s="10" t="s">
        <v>15</v>
      </c>
      <c r="C431" s="10">
        <v>318565.5</v>
      </c>
      <c r="D431" s="10">
        <v>3.3781581E7</v>
      </c>
      <c r="E431" s="7">
        <f>SUMIFS('Лист2'!C:C, 'Лист2'!A:A, A431, 'Лист2'!B:B, B431)</f>
        <v>125</v>
      </c>
      <c r="F431" s="7">
        <f>SUMIFS('Лист2'!D:D, 'Лист2'!A:A, A431, 'Лист2'!B:B, B431)</f>
        <v>18066</v>
      </c>
      <c r="G431" s="7">
        <f>SUMIFS('Лист2'!E:E, 'Лист2'!A:A, A431, 'Лист2'!B:B, B431)</f>
        <v>16883</v>
      </c>
      <c r="H431" s="8">
        <f t="shared" si="1"/>
        <v>270252.648</v>
      </c>
      <c r="I431" s="8">
        <f t="shared" si="2"/>
        <v>20</v>
      </c>
    </row>
    <row r="432" ht="14.25" customHeight="1">
      <c r="A432" s="5">
        <v>43980.0</v>
      </c>
      <c r="B432" s="6" t="s">
        <v>14</v>
      </c>
      <c r="C432" s="6">
        <v>422965.5</v>
      </c>
      <c r="D432" s="6">
        <v>4.1767140105000004E7</v>
      </c>
      <c r="E432" s="7">
        <f>SUMIFS('Лист2'!C:C, 'Лист2'!A:A, A432, 'Лист2'!B:B, B432)</f>
        <v>129</v>
      </c>
      <c r="F432" s="7">
        <f>SUMIFS('Лист2'!D:D, 'Лист2'!A:A, A432, 'Лист2'!B:B, B432)</f>
        <v>22403</v>
      </c>
      <c r="G432" s="7">
        <f>SUMIFS('Лист2'!E:E, 'Лист2'!A:A, A432, 'Лист2'!B:B, B432)</f>
        <v>20676</v>
      </c>
      <c r="H432" s="8">
        <f t="shared" si="1"/>
        <v>323776.2799</v>
      </c>
      <c r="I432" s="8">
        <f t="shared" si="2"/>
        <v>22</v>
      </c>
    </row>
    <row r="433" ht="14.25" customHeight="1">
      <c r="A433" s="9">
        <v>43969.0</v>
      </c>
      <c r="B433" s="10" t="s">
        <v>15</v>
      </c>
      <c r="C433" s="10">
        <v>355081.5</v>
      </c>
      <c r="D433" s="10">
        <v>3.6876888E7</v>
      </c>
      <c r="E433" s="7">
        <f>SUMIFS('Лист2'!C:C, 'Лист2'!A:A, A433, 'Лист2'!B:B, B433)</f>
        <v>125</v>
      </c>
      <c r="F433" s="7">
        <f>SUMIFS('Лист2'!D:D, 'Лист2'!A:A, A433, 'Лист2'!B:B, B433)</f>
        <v>20449</v>
      </c>
      <c r="G433" s="7">
        <f>SUMIFS('Лист2'!E:E, 'Лист2'!A:A, A433, 'Лист2'!B:B, B433)</f>
        <v>19060</v>
      </c>
      <c r="H433" s="8">
        <f t="shared" si="1"/>
        <v>295015.104</v>
      </c>
      <c r="I433" s="8">
        <f t="shared" si="2"/>
        <v>21</v>
      </c>
    </row>
    <row r="434" ht="14.25" customHeight="1">
      <c r="A434" s="5">
        <v>43965.0</v>
      </c>
      <c r="B434" s="6" t="s">
        <v>15</v>
      </c>
      <c r="C434" s="6">
        <v>358387.5</v>
      </c>
      <c r="D434" s="6">
        <v>3.79631505E7</v>
      </c>
      <c r="E434" s="7">
        <f>SUMIFS('Лист2'!C:C, 'Лист2'!A:A, A434, 'Лист2'!B:B, B434)</f>
        <v>125</v>
      </c>
      <c r="F434" s="7">
        <f>SUMIFS('Лист2'!D:D, 'Лист2'!A:A, A434, 'Лист2'!B:B, B434)</f>
        <v>20247</v>
      </c>
      <c r="G434" s="7">
        <f>SUMIFS('Лист2'!E:E, 'Лист2'!A:A, A434, 'Лист2'!B:B, B434)</f>
        <v>18812</v>
      </c>
      <c r="H434" s="8">
        <f t="shared" si="1"/>
        <v>303705.204</v>
      </c>
      <c r="I434" s="8">
        <f t="shared" si="2"/>
        <v>20</v>
      </c>
    </row>
    <row r="435" ht="14.25" customHeight="1">
      <c r="A435" s="9">
        <v>43966.0</v>
      </c>
      <c r="B435" s="10" t="s">
        <v>15</v>
      </c>
      <c r="C435" s="10">
        <v>403261.5</v>
      </c>
      <c r="D435" s="10">
        <v>4.2271377E7</v>
      </c>
      <c r="E435" s="7">
        <f>SUMIFS('Лист2'!C:C, 'Лист2'!A:A, A435, 'Лист2'!B:B, B435)</f>
        <v>125</v>
      </c>
      <c r="F435" s="7">
        <f>SUMIFS('Лист2'!D:D, 'Лист2'!A:A, A435, 'Лист2'!B:B, B435)</f>
        <v>21862</v>
      </c>
      <c r="G435" s="7">
        <f>SUMIFS('Лист2'!E:E, 'Лист2'!A:A, A435, 'Лист2'!B:B, B435)</f>
        <v>20235</v>
      </c>
      <c r="H435" s="8">
        <f t="shared" si="1"/>
        <v>338171.016</v>
      </c>
      <c r="I435" s="8">
        <f t="shared" si="2"/>
        <v>20</v>
      </c>
    </row>
    <row r="436" ht="14.25" customHeight="1">
      <c r="A436" s="5">
        <v>43978.0</v>
      </c>
      <c r="B436" s="6" t="s">
        <v>16</v>
      </c>
      <c r="C436" s="6">
        <v>69010.5</v>
      </c>
      <c r="D436" s="6">
        <v>5985894.0</v>
      </c>
      <c r="E436" s="7">
        <f>SUMIFS('Лист2'!C:C, 'Лист2'!A:A, A436, 'Лист2'!B:B, B436)</f>
        <v>36</v>
      </c>
      <c r="F436" s="7">
        <f>SUMIFS('Лист2'!D:D, 'Лист2'!A:A, A436, 'Лист2'!B:B, B436)</f>
        <v>4951</v>
      </c>
      <c r="G436" s="7">
        <f>SUMIFS('Лист2'!E:E, 'Лист2'!A:A, A436, 'Лист2'!B:B, B436)</f>
        <v>4584</v>
      </c>
      <c r="H436" s="8">
        <f t="shared" si="1"/>
        <v>166274.8333</v>
      </c>
      <c r="I436" s="8">
        <f t="shared" si="2"/>
        <v>22</v>
      </c>
    </row>
    <row r="437" ht="14.25" customHeight="1">
      <c r="A437" s="9">
        <v>43973.0</v>
      </c>
      <c r="B437" s="10" t="s">
        <v>16</v>
      </c>
      <c r="C437" s="10">
        <v>75820.5</v>
      </c>
      <c r="D437" s="10">
        <v>5943489.0</v>
      </c>
      <c r="E437" s="7">
        <f>SUMIFS('Лист2'!C:C, 'Лист2'!A:A, A437, 'Лист2'!B:B, B437)</f>
        <v>36</v>
      </c>
      <c r="F437" s="7">
        <f>SUMIFS('Лист2'!D:D, 'Лист2'!A:A, A437, 'Лист2'!B:B, B437)</f>
        <v>4857</v>
      </c>
      <c r="G437" s="7">
        <f>SUMIFS('Лист2'!E:E, 'Лист2'!A:A, A437, 'Лист2'!B:B, B437)</f>
        <v>4456</v>
      </c>
      <c r="H437" s="8">
        <f t="shared" si="1"/>
        <v>165096.9167</v>
      </c>
      <c r="I437" s="8">
        <f t="shared" si="2"/>
        <v>21</v>
      </c>
    </row>
    <row r="438" ht="14.25" customHeight="1">
      <c r="A438" s="5">
        <v>43983.0</v>
      </c>
      <c r="B438" s="6" t="s">
        <v>16</v>
      </c>
      <c r="C438" s="6">
        <v>64740.0</v>
      </c>
      <c r="D438" s="6">
        <v>5800290.0</v>
      </c>
      <c r="E438" s="7">
        <f>SUMIFS('Лист2'!C:C, 'Лист2'!A:A, A438, 'Лист2'!B:B, B438)</f>
        <v>37</v>
      </c>
      <c r="F438" s="7">
        <f>SUMIFS('Лист2'!D:D, 'Лист2'!A:A, A438, 'Лист2'!B:B, B438)</f>
        <v>4722</v>
      </c>
      <c r="G438" s="7">
        <f>SUMIFS('Лист2'!E:E, 'Лист2'!A:A, A438, 'Лист2'!B:B, B438)</f>
        <v>4352</v>
      </c>
      <c r="H438" s="8">
        <f t="shared" si="1"/>
        <v>156764.5946</v>
      </c>
      <c r="I438" s="8">
        <f t="shared" si="2"/>
        <v>23</v>
      </c>
    </row>
    <row r="439" ht="14.25" customHeight="1">
      <c r="A439" s="9">
        <v>43962.0</v>
      </c>
      <c r="B439" s="10" t="s">
        <v>16</v>
      </c>
      <c r="C439" s="10">
        <v>59574.0</v>
      </c>
      <c r="D439" s="10">
        <v>5178169.5</v>
      </c>
      <c r="E439" s="7">
        <f>SUMIFS('Лист2'!C:C, 'Лист2'!A:A, A439, 'Лист2'!B:B, B439)</f>
        <v>36</v>
      </c>
      <c r="F439" s="7">
        <f>SUMIFS('Лист2'!D:D, 'Лист2'!A:A, A439, 'Лист2'!B:B, B439)</f>
        <v>4150</v>
      </c>
      <c r="G439" s="7">
        <f>SUMIFS('Лист2'!E:E, 'Лист2'!A:A, A439, 'Лист2'!B:B, B439)</f>
        <v>3838</v>
      </c>
      <c r="H439" s="8">
        <f t="shared" si="1"/>
        <v>143838.0417</v>
      </c>
      <c r="I439" s="8">
        <f t="shared" si="2"/>
        <v>20</v>
      </c>
    </row>
    <row r="440" ht="14.25" customHeight="1">
      <c r="A440" s="5">
        <v>43980.0</v>
      </c>
      <c r="B440" s="6" t="s">
        <v>15</v>
      </c>
      <c r="C440" s="6">
        <v>524481.0</v>
      </c>
      <c r="D440" s="6">
        <v>5.4172029E7</v>
      </c>
      <c r="E440" s="7">
        <f>SUMIFS('Лист2'!C:C, 'Лист2'!A:A, A440, 'Лист2'!B:B, B440)</f>
        <v>124</v>
      </c>
      <c r="F440" s="7">
        <f>SUMIFS('Лист2'!D:D, 'Лист2'!A:A, A440, 'Лист2'!B:B, B440)</f>
        <v>25828</v>
      </c>
      <c r="G440" s="7">
        <f>SUMIFS('Лист2'!E:E, 'Лист2'!A:A, A440, 'Лист2'!B:B, B440)</f>
        <v>23974</v>
      </c>
      <c r="H440" s="8">
        <f t="shared" si="1"/>
        <v>436871.2016</v>
      </c>
      <c r="I440" s="8">
        <f t="shared" si="2"/>
        <v>22</v>
      </c>
    </row>
    <row r="441" ht="14.25" customHeight="1">
      <c r="A441" s="9">
        <v>43969.0</v>
      </c>
      <c r="B441" s="10" t="s">
        <v>16</v>
      </c>
      <c r="C441" s="10">
        <v>70278.0</v>
      </c>
      <c r="D441" s="10">
        <v>5798476.5</v>
      </c>
      <c r="E441" s="7">
        <f>SUMIFS('Лист2'!C:C, 'Лист2'!A:A, A441, 'Лист2'!B:B, B441)</f>
        <v>36</v>
      </c>
      <c r="F441" s="7">
        <f>SUMIFS('Лист2'!D:D, 'Лист2'!A:A, A441, 'Лист2'!B:B, B441)</f>
        <v>4885</v>
      </c>
      <c r="G441" s="7">
        <f>SUMIFS('Лист2'!E:E, 'Лист2'!A:A, A441, 'Лист2'!B:B, B441)</f>
        <v>4502</v>
      </c>
      <c r="H441" s="8">
        <f t="shared" si="1"/>
        <v>161068.7917</v>
      </c>
      <c r="I441" s="8">
        <f t="shared" si="2"/>
        <v>21</v>
      </c>
    </row>
    <row r="442" ht="14.25" customHeight="1">
      <c r="A442" s="5">
        <v>43965.0</v>
      </c>
      <c r="B442" s="6" t="s">
        <v>16</v>
      </c>
      <c r="C442" s="6">
        <v>63645.0</v>
      </c>
      <c r="D442" s="6">
        <v>5366602.5</v>
      </c>
      <c r="E442" s="7">
        <f>SUMIFS('Лист2'!C:C, 'Лист2'!A:A, A442, 'Лист2'!B:B, B442)</f>
        <v>36</v>
      </c>
      <c r="F442" s="7">
        <f>SUMIFS('Лист2'!D:D, 'Лист2'!A:A, A442, 'Лист2'!B:B, B442)</f>
        <v>4285</v>
      </c>
      <c r="G442" s="7">
        <f>SUMIFS('Лист2'!E:E, 'Лист2'!A:A, A442, 'Лист2'!B:B, B442)</f>
        <v>3950</v>
      </c>
      <c r="H442" s="8">
        <f t="shared" si="1"/>
        <v>149072.2917</v>
      </c>
      <c r="I442" s="8">
        <f t="shared" si="2"/>
        <v>20</v>
      </c>
    </row>
    <row r="443" ht="14.25" customHeight="1">
      <c r="A443" s="9">
        <v>43966.0</v>
      </c>
      <c r="B443" s="10" t="s">
        <v>16</v>
      </c>
      <c r="C443" s="10">
        <v>75642.0</v>
      </c>
      <c r="D443" s="10">
        <v>6293952.0</v>
      </c>
      <c r="E443" s="7">
        <f>SUMIFS('Лист2'!C:C, 'Лист2'!A:A, A443, 'Лист2'!B:B, B443)</f>
        <v>36</v>
      </c>
      <c r="F443" s="7">
        <f>SUMIFS('Лист2'!D:D, 'Лист2'!A:A, A443, 'Лист2'!B:B, B443)</f>
        <v>4862</v>
      </c>
      <c r="G443" s="7">
        <f>SUMIFS('Лист2'!E:E, 'Лист2'!A:A, A443, 'Лист2'!B:B, B443)</f>
        <v>4476</v>
      </c>
      <c r="H443" s="8">
        <f t="shared" si="1"/>
        <v>174832</v>
      </c>
      <c r="I443" s="8">
        <f t="shared" si="2"/>
        <v>20</v>
      </c>
    </row>
    <row r="444" ht="14.25" customHeight="1">
      <c r="A444" s="5">
        <v>43978.0</v>
      </c>
      <c r="B444" s="6" t="s">
        <v>17</v>
      </c>
      <c r="C444" s="6">
        <v>40420.5</v>
      </c>
      <c r="D444" s="6">
        <v>3780852.0</v>
      </c>
      <c r="E444" s="7">
        <f>SUMIFS('Лист2'!C:C, 'Лист2'!A:A, A444, 'Лист2'!B:B, B444)</f>
        <v>21</v>
      </c>
      <c r="F444" s="7">
        <f>SUMIFS('Лист2'!D:D, 'Лист2'!A:A, A444, 'Лист2'!B:B, B444)</f>
        <v>2430</v>
      </c>
      <c r="G444" s="7">
        <f>SUMIFS('Лист2'!E:E, 'Лист2'!A:A, A444, 'Лист2'!B:B, B444)</f>
        <v>2216</v>
      </c>
      <c r="H444" s="8">
        <f t="shared" si="1"/>
        <v>180040.5714</v>
      </c>
      <c r="I444" s="8">
        <f t="shared" si="2"/>
        <v>22</v>
      </c>
    </row>
    <row r="445" ht="14.25" customHeight="1">
      <c r="A445" s="9">
        <v>43973.0</v>
      </c>
      <c r="B445" s="10" t="s">
        <v>17</v>
      </c>
      <c r="C445" s="10">
        <v>53838.0</v>
      </c>
      <c r="D445" s="10">
        <v>4840833.0</v>
      </c>
      <c r="E445" s="7">
        <f>SUMIFS('Лист2'!C:C, 'Лист2'!A:A, A445, 'Лист2'!B:B, B445)</f>
        <v>21</v>
      </c>
      <c r="F445" s="7">
        <f>SUMIFS('Лист2'!D:D, 'Лист2'!A:A, A445, 'Лист2'!B:B, B445)</f>
        <v>2861</v>
      </c>
      <c r="G445" s="7">
        <f>SUMIFS('Лист2'!E:E, 'Лист2'!A:A, A445, 'Лист2'!B:B, B445)</f>
        <v>2612</v>
      </c>
      <c r="H445" s="8">
        <f t="shared" si="1"/>
        <v>230515.8571</v>
      </c>
      <c r="I445" s="8">
        <f t="shared" si="2"/>
        <v>21</v>
      </c>
    </row>
    <row r="446" ht="14.25" customHeight="1">
      <c r="A446" s="5">
        <v>43983.0</v>
      </c>
      <c r="B446" s="6" t="s">
        <v>17</v>
      </c>
      <c r="C446" s="6">
        <v>40528.5</v>
      </c>
      <c r="D446" s="6">
        <v>3865251.0</v>
      </c>
      <c r="E446" s="7">
        <f>SUMIFS('Лист2'!C:C, 'Лист2'!A:A, A446, 'Лист2'!B:B, B446)</f>
        <v>23</v>
      </c>
      <c r="F446" s="7">
        <f>SUMIFS('Лист2'!D:D, 'Лист2'!A:A, A446, 'Лист2'!B:B, B446)</f>
        <v>2531</v>
      </c>
      <c r="G446" s="7">
        <f>SUMIFS('Лист2'!E:E, 'Лист2'!A:A, A446, 'Лист2'!B:B, B446)</f>
        <v>2296</v>
      </c>
      <c r="H446" s="8">
        <f t="shared" si="1"/>
        <v>168054.3913</v>
      </c>
      <c r="I446" s="8">
        <f t="shared" si="2"/>
        <v>23</v>
      </c>
    </row>
    <row r="447" ht="14.25" customHeight="1">
      <c r="A447" s="9">
        <v>43962.0</v>
      </c>
      <c r="B447" s="10" t="s">
        <v>17</v>
      </c>
      <c r="C447" s="10">
        <v>32733.0</v>
      </c>
      <c r="D447" s="10">
        <v>3079630.5</v>
      </c>
      <c r="E447" s="7">
        <f>SUMIFS('Лист2'!C:C, 'Лист2'!A:A, A447, 'Лист2'!B:B, B447)</f>
        <v>21</v>
      </c>
      <c r="F447" s="7">
        <f>SUMIFS('Лист2'!D:D, 'Лист2'!A:A, A447, 'Лист2'!B:B, B447)</f>
        <v>1916</v>
      </c>
      <c r="G447" s="7">
        <f>SUMIFS('Лист2'!E:E, 'Лист2'!A:A, A447, 'Лист2'!B:B, B447)</f>
        <v>1733</v>
      </c>
      <c r="H447" s="8">
        <f t="shared" si="1"/>
        <v>146649.0714</v>
      </c>
      <c r="I447" s="8">
        <f t="shared" si="2"/>
        <v>20</v>
      </c>
    </row>
    <row r="448" ht="14.25" customHeight="1">
      <c r="A448" s="5">
        <v>43980.0</v>
      </c>
      <c r="B448" s="6" t="s">
        <v>16</v>
      </c>
      <c r="C448" s="6">
        <v>84433.5</v>
      </c>
      <c r="D448" s="6">
        <v>7228395.0</v>
      </c>
      <c r="E448" s="7">
        <f>SUMIFS('Лист2'!C:C, 'Лист2'!A:A, A448, 'Лист2'!B:B, B448)</f>
        <v>37</v>
      </c>
      <c r="F448" s="7">
        <f>SUMIFS('Лист2'!D:D, 'Лист2'!A:A, A448, 'Лист2'!B:B, B448)</f>
        <v>5672</v>
      </c>
      <c r="G448" s="7">
        <f>SUMIFS('Лист2'!E:E, 'Лист2'!A:A, A448, 'Лист2'!B:B, B448)</f>
        <v>5198</v>
      </c>
      <c r="H448" s="8">
        <f t="shared" si="1"/>
        <v>195362.027</v>
      </c>
      <c r="I448" s="8">
        <f t="shared" si="2"/>
        <v>22</v>
      </c>
    </row>
    <row r="449" ht="14.25" customHeight="1">
      <c r="A449" s="9">
        <v>43969.0</v>
      </c>
      <c r="B449" s="10" t="s">
        <v>17</v>
      </c>
      <c r="C449" s="10">
        <v>36655.5</v>
      </c>
      <c r="D449" s="10">
        <v>3360135.0</v>
      </c>
      <c r="E449" s="7">
        <f>SUMIFS('Лист2'!C:C, 'Лист2'!A:A, A449, 'Лист2'!B:B, B449)</f>
        <v>21</v>
      </c>
      <c r="F449" s="7">
        <f>SUMIFS('Лист2'!D:D, 'Лист2'!A:A, A449, 'Лист2'!B:B, B449)</f>
        <v>2136</v>
      </c>
      <c r="G449" s="7">
        <f>SUMIFS('Лист2'!E:E, 'Лист2'!A:A, A449, 'Лист2'!B:B, B449)</f>
        <v>1947</v>
      </c>
      <c r="H449" s="8">
        <f t="shared" si="1"/>
        <v>160006.4286</v>
      </c>
      <c r="I449" s="8">
        <f t="shared" si="2"/>
        <v>21</v>
      </c>
    </row>
    <row r="450" ht="14.25" customHeight="1">
      <c r="A450" s="5">
        <v>43965.0</v>
      </c>
      <c r="B450" s="6" t="s">
        <v>17</v>
      </c>
      <c r="C450" s="6">
        <v>33886.5</v>
      </c>
      <c r="D450" s="6">
        <v>3166479.0</v>
      </c>
      <c r="E450" s="7">
        <f>SUMIFS('Лист2'!C:C, 'Лист2'!A:A, A450, 'Лист2'!B:B, B450)</f>
        <v>21</v>
      </c>
      <c r="F450" s="7">
        <f>SUMIFS('Лист2'!D:D, 'Лист2'!A:A, A450, 'Лист2'!B:B, B450)</f>
        <v>1993</v>
      </c>
      <c r="G450" s="7">
        <f>SUMIFS('Лист2'!E:E, 'Лист2'!A:A, A450, 'Лист2'!B:B, B450)</f>
        <v>1796</v>
      </c>
      <c r="H450" s="8">
        <f t="shared" si="1"/>
        <v>150784.7143</v>
      </c>
      <c r="I450" s="8">
        <f t="shared" si="2"/>
        <v>20</v>
      </c>
    </row>
    <row r="451" ht="14.25" customHeight="1">
      <c r="A451" s="9">
        <v>43966.0</v>
      </c>
      <c r="B451" s="10" t="s">
        <v>17</v>
      </c>
      <c r="C451" s="10">
        <v>41697.0</v>
      </c>
      <c r="D451" s="10">
        <v>3772258.5</v>
      </c>
      <c r="E451" s="7">
        <f>SUMIFS('Лист2'!C:C, 'Лист2'!A:A, A451, 'Лист2'!B:B, B451)</f>
        <v>21</v>
      </c>
      <c r="F451" s="7">
        <f>SUMIFS('Лист2'!D:D, 'Лист2'!A:A, A451, 'Лист2'!B:B, B451)</f>
        <v>2255</v>
      </c>
      <c r="G451" s="7">
        <f>SUMIFS('Лист2'!E:E, 'Лист2'!A:A, A451, 'Лист2'!B:B, B451)</f>
        <v>2045</v>
      </c>
      <c r="H451" s="8">
        <f t="shared" si="1"/>
        <v>179631.3571</v>
      </c>
      <c r="I451" s="8">
        <f t="shared" si="2"/>
        <v>20</v>
      </c>
    </row>
    <row r="452" ht="14.25" customHeight="1">
      <c r="A452" s="5">
        <v>43980.0</v>
      </c>
      <c r="B452" s="6" t="s">
        <v>17</v>
      </c>
      <c r="C452" s="6">
        <v>44569.5</v>
      </c>
      <c r="D452" s="6">
        <v>4108596.0</v>
      </c>
      <c r="E452" s="7">
        <f>SUMIFS('Лист2'!C:C, 'Лист2'!A:A, A452, 'Лист2'!B:B, B452)</f>
        <v>22</v>
      </c>
      <c r="F452" s="7">
        <f>SUMIFS('Лист2'!D:D, 'Лист2'!A:A, A452, 'Лист2'!B:B, B452)</f>
        <v>2597</v>
      </c>
      <c r="G452" s="7">
        <f>SUMIFS('Лист2'!E:E, 'Лист2'!A:A, A452, 'Лист2'!B:B, B452)</f>
        <v>2379</v>
      </c>
      <c r="H452" s="8">
        <f t="shared" si="1"/>
        <v>186754.3636</v>
      </c>
      <c r="I452" s="8">
        <f t="shared" si="2"/>
        <v>22</v>
      </c>
    </row>
    <row r="453" ht="14.25" customHeight="1">
      <c r="A453" s="9">
        <v>43978.0</v>
      </c>
      <c r="B453" s="10" t="s">
        <v>18</v>
      </c>
      <c r="C453" s="10">
        <v>18069.0</v>
      </c>
      <c r="D453" s="10">
        <v>1603084.5</v>
      </c>
      <c r="E453" s="7">
        <f>SUMIFS('Лист2'!C:C, 'Лист2'!A:A, A453, 'Лист2'!B:B, B453)</f>
        <v>17</v>
      </c>
      <c r="F453" s="7">
        <f>SUMIFS('Лист2'!D:D, 'Лист2'!A:A, A453, 'Лист2'!B:B, B453)</f>
        <v>1203</v>
      </c>
      <c r="G453" s="7">
        <f>SUMIFS('Лист2'!E:E, 'Лист2'!A:A, A453, 'Лист2'!B:B, B453)</f>
        <v>1077</v>
      </c>
      <c r="H453" s="8">
        <f t="shared" si="1"/>
        <v>94299.08824</v>
      </c>
      <c r="I453" s="8">
        <f t="shared" si="2"/>
        <v>22</v>
      </c>
    </row>
    <row r="454" ht="14.25" customHeight="1">
      <c r="A454" s="5">
        <v>43973.0</v>
      </c>
      <c r="B454" s="6" t="s">
        <v>18</v>
      </c>
      <c r="C454" s="6">
        <v>21483.0</v>
      </c>
      <c r="D454" s="6">
        <v>1774329.0</v>
      </c>
      <c r="E454" s="7">
        <f>SUMIFS('Лист2'!C:C, 'Лист2'!A:A, A454, 'Лист2'!B:B, B454)</f>
        <v>17</v>
      </c>
      <c r="F454" s="7">
        <f>SUMIFS('Лист2'!D:D, 'Лист2'!A:A, A454, 'Лист2'!B:B, B454)</f>
        <v>1268</v>
      </c>
      <c r="G454" s="7">
        <f>SUMIFS('Лист2'!E:E, 'Лист2'!A:A, A454, 'Лист2'!B:B, B454)</f>
        <v>1129</v>
      </c>
      <c r="H454" s="8">
        <f t="shared" si="1"/>
        <v>104372.2941</v>
      </c>
      <c r="I454" s="8">
        <f t="shared" si="2"/>
        <v>21</v>
      </c>
    </row>
    <row r="455" ht="14.25" customHeight="1">
      <c r="A455" s="9">
        <v>43983.0</v>
      </c>
      <c r="B455" s="10" t="s">
        <v>18</v>
      </c>
      <c r="C455" s="10">
        <v>16687.5</v>
      </c>
      <c r="D455" s="10">
        <v>1526608.5</v>
      </c>
      <c r="E455" s="7">
        <f>SUMIFS('Лист2'!C:C, 'Лист2'!A:A, A455, 'Лист2'!B:B, B455)</f>
        <v>17</v>
      </c>
      <c r="F455" s="7">
        <f>SUMIFS('Лист2'!D:D, 'Лист2'!A:A, A455, 'Лист2'!B:B, B455)</f>
        <v>1185</v>
      </c>
      <c r="G455" s="7">
        <f>SUMIFS('Лист2'!E:E, 'Лист2'!A:A, A455, 'Лист2'!B:B, B455)</f>
        <v>1042</v>
      </c>
      <c r="H455" s="8">
        <f t="shared" si="1"/>
        <v>89800.5</v>
      </c>
      <c r="I455" s="8">
        <f t="shared" si="2"/>
        <v>23</v>
      </c>
    </row>
    <row r="456" ht="14.25" customHeight="1">
      <c r="A456" s="5">
        <v>43962.0</v>
      </c>
      <c r="B456" s="6" t="s">
        <v>18</v>
      </c>
      <c r="C456" s="6">
        <v>12238.5</v>
      </c>
      <c r="D456" s="6">
        <v>1096002.0</v>
      </c>
      <c r="E456" s="7">
        <f>SUMIFS('Лист2'!C:C, 'Лист2'!A:A, A456, 'Лист2'!B:B, B456)</f>
        <v>15</v>
      </c>
      <c r="F456" s="7">
        <f>SUMIFS('Лист2'!D:D, 'Лист2'!A:A, A456, 'Лист2'!B:B, B456)</f>
        <v>812</v>
      </c>
      <c r="G456" s="7">
        <f>SUMIFS('Лист2'!E:E, 'Лист2'!A:A, A456, 'Лист2'!B:B, B456)</f>
        <v>714</v>
      </c>
      <c r="H456" s="8">
        <f t="shared" si="1"/>
        <v>73066.8</v>
      </c>
      <c r="I456" s="8">
        <f t="shared" si="2"/>
        <v>20</v>
      </c>
    </row>
    <row r="457" ht="14.25" customHeight="1">
      <c r="A457" s="9">
        <v>43969.0</v>
      </c>
      <c r="B457" s="10" t="s">
        <v>18</v>
      </c>
      <c r="C457" s="10">
        <v>14290.5</v>
      </c>
      <c r="D457" s="10">
        <v>1246162.5</v>
      </c>
      <c r="E457" s="7">
        <f>SUMIFS('Лист2'!C:C, 'Лист2'!A:A, A457, 'Лист2'!B:B, B457)</f>
        <v>16</v>
      </c>
      <c r="F457" s="7">
        <f>SUMIFS('Лист2'!D:D, 'Лист2'!A:A, A457, 'Лист2'!B:B, B457)</f>
        <v>925</v>
      </c>
      <c r="G457" s="7">
        <f>SUMIFS('Лист2'!E:E, 'Лист2'!A:A, A457, 'Лист2'!B:B, B457)</f>
        <v>816</v>
      </c>
      <c r="H457" s="8">
        <f t="shared" si="1"/>
        <v>77885.15625</v>
      </c>
      <c r="I457" s="8">
        <f t="shared" si="2"/>
        <v>21</v>
      </c>
    </row>
    <row r="458" ht="14.25" customHeight="1">
      <c r="A458" s="5">
        <v>43965.0</v>
      </c>
      <c r="B458" s="6" t="s">
        <v>18</v>
      </c>
      <c r="C458" s="6">
        <v>14385.0</v>
      </c>
      <c r="D458" s="6">
        <v>1223491.5</v>
      </c>
      <c r="E458" s="7">
        <f>SUMIFS('Лист2'!C:C, 'Лист2'!A:A, A458, 'Лист2'!B:B, B458)</f>
        <v>15</v>
      </c>
      <c r="F458" s="7">
        <f>SUMIFS('Лист2'!D:D, 'Лист2'!A:A, A458, 'Лист2'!B:B, B458)</f>
        <v>890</v>
      </c>
      <c r="G458" s="7">
        <f>SUMIFS('Лист2'!E:E, 'Лист2'!A:A, A458, 'Лист2'!B:B, B458)</f>
        <v>777</v>
      </c>
      <c r="H458" s="8">
        <f t="shared" si="1"/>
        <v>81566.1</v>
      </c>
      <c r="I458" s="8">
        <f t="shared" si="2"/>
        <v>20</v>
      </c>
    </row>
    <row r="459" ht="14.25" customHeight="1">
      <c r="A459" s="9">
        <v>43966.0</v>
      </c>
      <c r="B459" s="10" t="s">
        <v>18</v>
      </c>
      <c r="C459" s="10">
        <v>16498.5</v>
      </c>
      <c r="D459" s="10">
        <v>1370482.5</v>
      </c>
      <c r="E459" s="7">
        <f>SUMIFS('Лист2'!C:C, 'Лист2'!A:A, A459, 'Лист2'!B:B, B459)</f>
        <v>15</v>
      </c>
      <c r="F459" s="7">
        <f>SUMIFS('Лист2'!D:D, 'Лист2'!A:A, A459, 'Лист2'!B:B, B459)</f>
        <v>980</v>
      </c>
      <c r="G459" s="7">
        <f>SUMIFS('Лист2'!E:E, 'Лист2'!A:A, A459, 'Лист2'!B:B, B459)</f>
        <v>867</v>
      </c>
      <c r="H459" s="8">
        <f t="shared" si="1"/>
        <v>91365.5</v>
      </c>
      <c r="I459" s="8">
        <f t="shared" si="2"/>
        <v>20</v>
      </c>
    </row>
    <row r="460" ht="14.25" customHeight="1">
      <c r="A460" s="5">
        <v>43978.0</v>
      </c>
      <c r="B460" s="6" t="s">
        <v>19</v>
      </c>
      <c r="C460" s="6">
        <v>13203.0</v>
      </c>
      <c r="D460" s="6">
        <v>1211457.0</v>
      </c>
      <c r="E460" s="7">
        <f>SUMIFS('Лист2'!C:C, 'Лист2'!A:A, A460, 'Лист2'!B:B, B460)</f>
        <v>15</v>
      </c>
      <c r="F460" s="7">
        <f>SUMIFS('Лист2'!D:D, 'Лист2'!A:A, A460, 'Лист2'!B:B, B460)</f>
        <v>809</v>
      </c>
      <c r="G460" s="7">
        <f>SUMIFS('Лист2'!E:E, 'Лист2'!A:A, A460, 'Лист2'!B:B, B460)</f>
        <v>702</v>
      </c>
      <c r="H460" s="8">
        <f t="shared" si="1"/>
        <v>80763.8</v>
      </c>
      <c r="I460" s="8">
        <f t="shared" si="2"/>
        <v>22</v>
      </c>
    </row>
    <row r="461" ht="14.25" customHeight="1">
      <c r="A461" s="9">
        <v>43973.0</v>
      </c>
      <c r="B461" s="10" t="s">
        <v>19</v>
      </c>
      <c r="C461" s="10">
        <v>15802.5</v>
      </c>
      <c r="D461" s="10">
        <v>1411909.5</v>
      </c>
      <c r="E461" s="7">
        <f>SUMIFS('Лист2'!C:C, 'Лист2'!A:A, A461, 'Лист2'!B:B, B461)</f>
        <v>15</v>
      </c>
      <c r="F461" s="7">
        <f>SUMIFS('Лист2'!D:D, 'Лист2'!A:A, A461, 'Лист2'!B:B, B461)</f>
        <v>903</v>
      </c>
      <c r="G461" s="7">
        <f>SUMIFS('Лист2'!E:E, 'Лист2'!A:A, A461, 'Лист2'!B:B, B461)</f>
        <v>792</v>
      </c>
      <c r="H461" s="8">
        <f t="shared" si="1"/>
        <v>94127.3</v>
      </c>
      <c r="I461" s="8">
        <f t="shared" si="2"/>
        <v>21</v>
      </c>
    </row>
    <row r="462" ht="14.25" customHeight="1">
      <c r="A462" s="5">
        <v>43983.0</v>
      </c>
      <c r="B462" s="6" t="s">
        <v>19</v>
      </c>
      <c r="C462" s="6">
        <v>16476.0</v>
      </c>
      <c r="D462" s="6">
        <v>1565632.5</v>
      </c>
      <c r="E462" s="7">
        <f>SUMIFS('Лист2'!C:C, 'Лист2'!A:A, A462, 'Лист2'!B:B, B462)</f>
        <v>16</v>
      </c>
      <c r="F462" s="7">
        <f>SUMIFS('Лист2'!D:D, 'Лист2'!A:A, A462, 'Лист2'!B:B, B462)</f>
        <v>1019</v>
      </c>
      <c r="G462" s="7">
        <f>SUMIFS('Лист2'!E:E, 'Лист2'!A:A, A462, 'Лист2'!B:B, B462)</f>
        <v>895</v>
      </c>
      <c r="H462" s="8">
        <f t="shared" si="1"/>
        <v>97852.03125</v>
      </c>
      <c r="I462" s="8">
        <f t="shared" si="2"/>
        <v>23</v>
      </c>
    </row>
    <row r="463" ht="14.25" customHeight="1">
      <c r="A463" s="9">
        <v>43962.0</v>
      </c>
      <c r="B463" s="10" t="s">
        <v>19</v>
      </c>
      <c r="C463" s="10">
        <v>12654.0</v>
      </c>
      <c r="D463" s="10">
        <v>1081158.0</v>
      </c>
      <c r="E463" s="7">
        <f>SUMIFS('Лист2'!C:C, 'Лист2'!A:A, A463, 'Лист2'!B:B, B463)</f>
        <v>15</v>
      </c>
      <c r="F463" s="7">
        <f>SUMIFS('Лист2'!D:D, 'Лист2'!A:A, A463, 'Лист2'!B:B, B463)</f>
        <v>684</v>
      </c>
      <c r="G463" s="7">
        <f>SUMIFS('Лист2'!E:E, 'Лист2'!A:A, A463, 'Лист2'!B:B, B463)</f>
        <v>585</v>
      </c>
      <c r="H463" s="8">
        <f t="shared" si="1"/>
        <v>72077.2</v>
      </c>
      <c r="I463" s="8">
        <f t="shared" si="2"/>
        <v>20</v>
      </c>
    </row>
    <row r="464" ht="14.25" customHeight="1">
      <c r="A464" s="5">
        <v>43980.0</v>
      </c>
      <c r="B464" s="6" t="s">
        <v>18</v>
      </c>
      <c r="C464" s="6">
        <v>19647.0</v>
      </c>
      <c r="D464" s="6">
        <v>1764669.0</v>
      </c>
      <c r="E464" s="7">
        <f>SUMIFS('Лист2'!C:C, 'Лист2'!A:A, A464, 'Лист2'!B:B, B464)</f>
        <v>17</v>
      </c>
      <c r="F464" s="7">
        <f>SUMIFS('Лист2'!D:D, 'Лист2'!A:A, A464, 'Лист2'!B:B, B464)</f>
        <v>1296</v>
      </c>
      <c r="G464" s="7">
        <f>SUMIFS('Лист2'!E:E, 'Лист2'!A:A, A464, 'Лист2'!B:B, B464)</f>
        <v>1153</v>
      </c>
      <c r="H464" s="8">
        <f t="shared" si="1"/>
        <v>103804.0588</v>
      </c>
      <c r="I464" s="8">
        <f t="shared" si="2"/>
        <v>22</v>
      </c>
    </row>
    <row r="465" ht="14.25" customHeight="1">
      <c r="A465" s="9">
        <v>43969.0</v>
      </c>
      <c r="B465" s="10" t="s">
        <v>19</v>
      </c>
      <c r="C465" s="10">
        <v>12450.0</v>
      </c>
      <c r="D465" s="10">
        <v>1115146.5</v>
      </c>
      <c r="E465" s="7">
        <f>SUMIFS('Лист2'!C:C, 'Лист2'!A:A, A465, 'Лист2'!B:B, B465)</f>
        <v>15</v>
      </c>
      <c r="F465" s="7">
        <f>SUMIFS('Лист2'!D:D, 'Лист2'!A:A, A465, 'Лист2'!B:B, B465)</f>
        <v>729</v>
      </c>
      <c r="G465" s="7">
        <f>SUMIFS('Лист2'!E:E, 'Лист2'!A:A, A465, 'Лист2'!B:B, B465)</f>
        <v>636</v>
      </c>
      <c r="H465" s="8">
        <f t="shared" si="1"/>
        <v>74343.1</v>
      </c>
      <c r="I465" s="8">
        <f t="shared" si="2"/>
        <v>21</v>
      </c>
    </row>
    <row r="466" ht="14.25" customHeight="1">
      <c r="A466" s="5">
        <v>43965.0</v>
      </c>
      <c r="B466" s="6" t="s">
        <v>19</v>
      </c>
      <c r="C466" s="6">
        <v>11161.5</v>
      </c>
      <c r="D466" s="6">
        <v>963502.5</v>
      </c>
      <c r="E466" s="7">
        <f>SUMIFS('Лист2'!C:C, 'Лист2'!A:A, A466, 'Лист2'!B:B, B466)</f>
        <v>15</v>
      </c>
      <c r="F466" s="7">
        <f>SUMIFS('Лист2'!D:D, 'Лист2'!A:A, A466, 'Лист2'!B:B, B466)</f>
        <v>638</v>
      </c>
      <c r="G466" s="7">
        <f>SUMIFS('Лист2'!E:E, 'Лист2'!A:A, A466, 'Лист2'!B:B, B466)</f>
        <v>548</v>
      </c>
      <c r="H466" s="8">
        <f t="shared" si="1"/>
        <v>64233.5</v>
      </c>
      <c r="I466" s="8">
        <f t="shared" si="2"/>
        <v>20</v>
      </c>
    </row>
    <row r="467" ht="14.25" customHeight="1">
      <c r="A467" s="9">
        <v>43966.0</v>
      </c>
      <c r="B467" s="10" t="s">
        <v>19</v>
      </c>
      <c r="C467" s="10">
        <v>12229.5</v>
      </c>
      <c r="D467" s="10">
        <v>1122730.5</v>
      </c>
      <c r="E467" s="7">
        <f>SUMIFS('Лист2'!C:C, 'Лист2'!A:A, A467, 'Лист2'!B:B, B467)</f>
        <v>15</v>
      </c>
      <c r="F467" s="7">
        <f>SUMIFS('Лист2'!D:D, 'Лист2'!A:A, A467, 'Лист2'!B:B, B467)</f>
        <v>688</v>
      </c>
      <c r="G467" s="7">
        <f>SUMIFS('Лист2'!E:E, 'Лист2'!A:A, A467, 'Лист2'!B:B, B467)</f>
        <v>598</v>
      </c>
      <c r="H467" s="8">
        <f t="shared" si="1"/>
        <v>74848.7</v>
      </c>
      <c r="I467" s="8">
        <f t="shared" si="2"/>
        <v>20</v>
      </c>
    </row>
    <row r="468" ht="14.25" customHeight="1">
      <c r="A468" s="5">
        <v>43978.0</v>
      </c>
      <c r="B468" s="6" t="s">
        <v>20</v>
      </c>
      <c r="C468" s="6">
        <v>28050.0</v>
      </c>
      <c r="D468" s="6">
        <v>2458555.5</v>
      </c>
      <c r="E468" s="7">
        <f>SUMIFS('Лист2'!C:C, 'Лист2'!A:A, A468, 'Лист2'!B:B, B468)</f>
        <v>20</v>
      </c>
      <c r="F468" s="7">
        <f>SUMIFS('Лист2'!D:D, 'Лист2'!A:A, A468, 'Лист2'!B:B, B468)</f>
        <v>1873</v>
      </c>
      <c r="G468" s="7">
        <f>SUMIFS('Лист2'!E:E, 'Лист2'!A:A, A468, 'Лист2'!B:B, B468)</f>
        <v>1715</v>
      </c>
      <c r="H468" s="8">
        <f t="shared" si="1"/>
        <v>122927.775</v>
      </c>
      <c r="I468" s="8">
        <f t="shared" si="2"/>
        <v>22</v>
      </c>
    </row>
    <row r="469" ht="14.25" customHeight="1">
      <c r="A469" s="9">
        <v>43973.0</v>
      </c>
      <c r="B469" s="10" t="s">
        <v>20</v>
      </c>
      <c r="C469" s="10">
        <v>30781.5</v>
      </c>
      <c r="D469" s="10">
        <v>2540715.0</v>
      </c>
      <c r="E469" s="7">
        <f>SUMIFS('Лист2'!C:C, 'Лист2'!A:A, A469, 'Лист2'!B:B, B469)</f>
        <v>19</v>
      </c>
      <c r="F469" s="7">
        <f>SUMIFS('Лист2'!D:D, 'Лист2'!A:A, A469, 'Лист2'!B:B, B469)</f>
        <v>1859</v>
      </c>
      <c r="G469" s="7">
        <f>SUMIFS('Лист2'!E:E, 'Лист2'!A:A, A469, 'Лист2'!B:B, B469)</f>
        <v>1697</v>
      </c>
      <c r="H469" s="8">
        <f t="shared" si="1"/>
        <v>133721.8421</v>
      </c>
      <c r="I469" s="8">
        <f t="shared" si="2"/>
        <v>21</v>
      </c>
    </row>
    <row r="470" ht="14.25" customHeight="1">
      <c r="A470" s="5">
        <v>43983.0</v>
      </c>
      <c r="B470" s="6" t="s">
        <v>20</v>
      </c>
      <c r="C470" s="6">
        <v>27960.0</v>
      </c>
      <c r="D470" s="6">
        <v>2538967.5</v>
      </c>
      <c r="E470" s="7">
        <f>SUMIFS('Лист2'!C:C, 'Лист2'!A:A, A470, 'Лист2'!B:B, B470)</f>
        <v>21</v>
      </c>
      <c r="F470" s="7">
        <f>SUMIFS('Лист2'!D:D, 'Лист2'!A:A, A470, 'Лист2'!B:B, B470)</f>
        <v>1879</v>
      </c>
      <c r="G470" s="7">
        <f>SUMIFS('Лист2'!E:E, 'Лист2'!A:A, A470, 'Лист2'!B:B, B470)</f>
        <v>1720</v>
      </c>
      <c r="H470" s="8">
        <f t="shared" si="1"/>
        <v>120903.2143</v>
      </c>
      <c r="I470" s="8">
        <f t="shared" si="2"/>
        <v>23</v>
      </c>
    </row>
    <row r="471" ht="14.25" customHeight="1">
      <c r="A471" s="9">
        <v>43962.0</v>
      </c>
      <c r="B471" s="10" t="s">
        <v>20</v>
      </c>
      <c r="C471" s="10">
        <v>23629.5</v>
      </c>
      <c r="D471" s="10">
        <v>2164365.0</v>
      </c>
      <c r="E471" s="7">
        <f>SUMIFS('Лист2'!C:C, 'Лист2'!A:A, A471, 'Лист2'!B:B, B471)</f>
        <v>19</v>
      </c>
      <c r="F471" s="7">
        <f>SUMIFS('Лист2'!D:D, 'Лист2'!A:A, A471, 'Лист2'!B:B, B471)</f>
        <v>1527</v>
      </c>
      <c r="G471" s="7">
        <f>SUMIFS('Лист2'!E:E, 'Лист2'!A:A, A471, 'Лист2'!B:B, B471)</f>
        <v>1389</v>
      </c>
      <c r="H471" s="8">
        <f t="shared" si="1"/>
        <v>113913.9474</v>
      </c>
      <c r="I471" s="8">
        <f t="shared" si="2"/>
        <v>20</v>
      </c>
    </row>
    <row r="472" ht="14.25" customHeight="1">
      <c r="A472" s="5">
        <v>43980.0</v>
      </c>
      <c r="B472" s="6" t="s">
        <v>19</v>
      </c>
      <c r="C472" s="6">
        <v>17052.0</v>
      </c>
      <c r="D472" s="6">
        <v>1549020.0</v>
      </c>
      <c r="E472" s="7">
        <f>SUMIFS('Лист2'!C:C, 'Лист2'!A:A, A472, 'Лист2'!B:B, B472)</f>
        <v>16</v>
      </c>
      <c r="F472" s="7">
        <f>SUMIFS('Лист2'!D:D, 'Лист2'!A:A, A472, 'Лист2'!B:B, B472)</f>
        <v>981</v>
      </c>
      <c r="G472" s="7">
        <f>SUMIFS('Лист2'!E:E, 'Лист2'!A:A, A472, 'Лист2'!B:B, B472)</f>
        <v>859</v>
      </c>
      <c r="H472" s="8">
        <f t="shared" si="1"/>
        <v>96813.75</v>
      </c>
      <c r="I472" s="8">
        <f t="shared" si="2"/>
        <v>22</v>
      </c>
    </row>
    <row r="473" ht="14.25" customHeight="1">
      <c r="A473" s="9">
        <v>43969.0</v>
      </c>
      <c r="B473" s="10" t="s">
        <v>20</v>
      </c>
      <c r="C473" s="10">
        <v>27181.5</v>
      </c>
      <c r="D473" s="10">
        <v>2324490.0</v>
      </c>
      <c r="E473" s="7">
        <f>SUMIFS('Лист2'!C:C, 'Лист2'!A:A, A473, 'Лист2'!B:B, B473)</f>
        <v>19</v>
      </c>
      <c r="F473" s="7">
        <f>SUMIFS('Лист2'!D:D, 'Лист2'!A:A, A473, 'Лист2'!B:B, B473)</f>
        <v>1741</v>
      </c>
      <c r="G473" s="7">
        <f>SUMIFS('Лист2'!E:E, 'Лист2'!A:A, A473, 'Лист2'!B:B, B473)</f>
        <v>1597</v>
      </c>
      <c r="H473" s="8">
        <f t="shared" si="1"/>
        <v>122341.5789</v>
      </c>
      <c r="I473" s="8">
        <f t="shared" si="2"/>
        <v>21</v>
      </c>
    </row>
    <row r="474" ht="14.25" customHeight="1">
      <c r="A474" s="5">
        <v>43965.0</v>
      </c>
      <c r="B474" s="6" t="s">
        <v>20</v>
      </c>
      <c r="C474" s="6">
        <v>25656.0</v>
      </c>
      <c r="D474" s="6">
        <v>2225341.5</v>
      </c>
      <c r="E474" s="7">
        <f>SUMIFS('Лист2'!C:C, 'Лист2'!A:A, A474, 'Лист2'!B:B, B474)</f>
        <v>19</v>
      </c>
      <c r="F474" s="7">
        <f>SUMIFS('Лист2'!D:D, 'Лист2'!A:A, A474, 'Лист2'!B:B, B474)</f>
        <v>1635</v>
      </c>
      <c r="G474" s="7">
        <f>SUMIFS('Лист2'!E:E, 'Лист2'!A:A, A474, 'Лист2'!B:B, B474)</f>
        <v>1487</v>
      </c>
      <c r="H474" s="8">
        <f t="shared" si="1"/>
        <v>117123.2368</v>
      </c>
      <c r="I474" s="8">
        <f t="shared" si="2"/>
        <v>20</v>
      </c>
    </row>
    <row r="475" ht="14.25" customHeight="1">
      <c r="A475" s="9">
        <v>43966.0</v>
      </c>
      <c r="B475" s="10" t="s">
        <v>20</v>
      </c>
      <c r="C475" s="10">
        <v>29283.0</v>
      </c>
      <c r="D475" s="10">
        <v>2477487.0</v>
      </c>
      <c r="E475" s="7">
        <f>SUMIFS('Лист2'!C:C, 'Лист2'!A:A, A475, 'Лист2'!B:B, B475)</f>
        <v>19</v>
      </c>
      <c r="F475" s="7">
        <f>SUMIFS('Лист2'!D:D, 'Лист2'!A:A, A475, 'Лист2'!B:B, B475)</f>
        <v>1780</v>
      </c>
      <c r="G475" s="7">
        <f>SUMIFS('Лист2'!E:E, 'Лист2'!A:A, A475, 'Лист2'!B:B, B475)</f>
        <v>1615</v>
      </c>
      <c r="H475" s="8">
        <f t="shared" si="1"/>
        <v>130394.0526</v>
      </c>
      <c r="I475" s="8">
        <f t="shared" si="2"/>
        <v>20</v>
      </c>
    </row>
    <row r="476" ht="14.25" customHeight="1">
      <c r="A476" s="5">
        <v>43980.0</v>
      </c>
      <c r="B476" s="6" t="s">
        <v>20</v>
      </c>
      <c r="C476" s="6">
        <v>32782.5</v>
      </c>
      <c r="D476" s="6">
        <v>2854741.5</v>
      </c>
      <c r="E476" s="7">
        <f>SUMIFS('Лист2'!C:C, 'Лист2'!A:A, A476, 'Лист2'!B:B, B476)</f>
        <v>20</v>
      </c>
      <c r="F476" s="7">
        <f>SUMIFS('Лист2'!D:D, 'Лист2'!A:A, A476, 'Лист2'!B:B, B476)</f>
        <v>2064</v>
      </c>
      <c r="G476" s="7">
        <f>SUMIFS('Лист2'!E:E, 'Лист2'!A:A, A476, 'Лист2'!B:B, B476)</f>
        <v>1896</v>
      </c>
      <c r="H476" s="8">
        <f t="shared" si="1"/>
        <v>142737.075</v>
      </c>
      <c r="I476" s="8">
        <f t="shared" si="2"/>
        <v>22</v>
      </c>
    </row>
    <row r="477" ht="14.25" customHeight="1">
      <c r="A477" s="9">
        <v>43978.0</v>
      </c>
      <c r="B477" s="10" t="s">
        <v>21</v>
      </c>
      <c r="C477" s="10">
        <v>215592.0</v>
      </c>
      <c r="D477" s="10">
        <v>2.23423005E7</v>
      </c>
      <c r="E477" s="7">
        <f>SUMIFS('Лист2'!C:C, 'Лист2'!A:A, A477, 'Лист2'!B:B, B477)</f>
        <v>59</v>
      </c>
      <c r="F477" s="7">
        <f>SUMIFS('Лист2'!D:D, 'Лист2'!A:A, A477, 'Лист2'!B:B, B477)</f>
        <v>13942</v>
      </c>
      <c r="G477" s="7">
        <f>SUMIFS('Лист2'!E:E, 'Лист2'!A:A, A477, 'Лист2'!B:B, B477)</f>
        <v>12986</v>
      </c>
      <c r="H477" s="8">
        <f t="shared" si="1"/>
        <v>378683.0593</v>
      </c>
      <c r="I477" s="8">
        <f t="shared" si="2"/>
        <v>22</v>
      </c>
    </row>
    <row r="478" ht="14.25" customHeight="1">
      <c r="A478" s="5">
        <v>43973.0</v>
      </c>
      <c r="B478" s="6" t="s">
        <v>21</v>
      </c>
      <c r="C478" s="6">
        <v>228334.5</v>
      </c>
      <c r="D478" s="6">
        <v>2.23807725E7</v>
      </c>
      <c r="E478" s="7">
        <f>SUMIFS('Лист2'!C:C, 'Лист2'!A:A, A478, 'Лист2'!B:B, B478)</f>
        <v>60</v>
      </c>
      <c r="F478" s="7">
        <f>SUMIFS('Лист2'!D:D, 'Лист2'!A:A, A478, 'Лист2'!B:B, B478)</f>
        <v>14050</v>
      </c>
      <c r="G478" s="7">
        <f>SUMIFS('Лист2'!E:E, 'Лист2'!A:A, A478, 'Лист2'!B:B, B478)</f>
        <v>13027</v>
      </c>
      <c r="H478" s="8">
        <f t="shared" si="1"/>
        <v>373012.875</v>
      </c>
      <c r="I478" s="8">
        <f t="shared" si="2"/>
        <v>21</v>
      </c>
    </row>
    <row r="479" ht="14.25" customHeight="1">
      <c r="A479" s="9">
        <v>43983.0</v>
      </c>
      <c r="B479" s="10" t="s">
        <v>21</v>
      </c>
      <c r="C479" s="10">
        <v>188776.5</v>
      </c>
      <c r="D479" s="10">
        <v>1.94653725E7</v>
      </c>
      <c r="E479" s="7">
        <f>SUMIFS('Лист2'!C:C, 'Лист2'!A:A, A479, 'Лист2'!B:B, B479)</f>
        <v>59</v>
      </c>
      <c r="F479" s="7">
        <f>SUMIFS('Лист2'!D:D, 'Лист2'!A:A, A479, 'Лист2'!B:B, B479)</f>
        <v>12299</v>
      </c>
      <c r="G479" s="7">
        <f>SUMIFS('Лист2'!E:E, 'Лист2'!A:A, A479, 'Лист2'!B:B, B479)</f>
        <v>11448</v>
      </c>
      <c r="H479" s="8">
        <f t="shared" si="1"/>
        <v>329921.5678</v>
      </c>
      <c r="I479" s="8">
        <f t="shared" si="2"/>
        <v>23</v>
      </c>
    </row>
    <row r="480" ht="14.25" customHeight="1">
      <c r="A480" s="5">
        <v>43962.0</v>
      </c>
      <c r="B480" s="6" t="s">
        <v>21</v>
      </c>
      <c r="C480" s="6">
        <v>175293.0</v>
      </c>
      <c r="D480" s="6">
        <v>1.7919144E7</v>
      </c>
      <c r="E480" s="7">
        <f>SUMIFS('Лист2'!C:C, 'Лист2'!A:A, A480, 'Лист2'!B:B, B480)</f>
        <v>60</v>
      </c>
      <c r="F480" s="7">
        <f>SUMIFS('Лист2'!D:D, 'Лист2'!A:A, A480, 'Лист2'!B:B, B480)</f>
        <v>11100</v>
      </c>
      <c r="G480" s="7">
        <f>SUMIFS('Лист2'!E:E, 'Лист2'!A:A, A480, 'Лист2'!B:B, B480)</f>
        <v>10407</v>
      </c>
      <c r="H480" s="8">
        <f t="shared" si="1"/>
        <v>298652.4</v>
      </c>
      <c r="I480" s="8">
        <f t="shared" si="2"/>
        <v>20</v>
      </c>
    </row>
    <row r="481" ht="14.25" customHeight="1">
      <c r="A481" s="9">
        <v>43969.0</v>
      </c>
      <c r="B481" s="10" t="s">
        <v>21</v>
      </c>
      <c r="C481" s="10">
        <v>201999.0</v>
      </c>
      <c r="D481" s="10">
        <v>2.04224355E7</v>
      </c>
      <c r="E481" s="7">
        <f>SUMIFS('Лист2'!C:C, 'Лист2'!A:A, A481, 'Лист2'!B:B, B481)</f>
        <v>60</v>
      </c>
      <c r="F481" s="7">
        <f>SUMIFS('Лист2'!D:D, 'Лист2'!A:A, A481, 'Лист2'!B:B, B481)</f>
        <v>12460</v>
      </c>
      <c r="G481" s="7">
        <f>SUMIFS('Лист2'!E:E, 'Лист2'!A:A, A481, 'Лист2'!B:B, B481)</f>
        <v>11665</v>
      </c>
      <c r="H481" s="8">
        <f t="shared" si="1"/>
        <v>340373.925</v>
      </c>
      <c r="I481" s="8">
        <f t="shared" si="2"/>
        <v>21</v>
      </c>
    </row>
    <row r="482" ht="14.25" customHeight="1">
      <c r="A482" s="5">
        <v>43965.0</v>
      </c>
      <c r="B482" s="6" t="s">
        <v>21</v>
      </c>
      <c r="C482" s="6">
        <v>197946.0</v>
      </c>
      <c r="D482" s="6">
        <v>1.99424355E7</v>
      </c>
      <c r="E482" s="7">
        <f>SUMIFS('Лист2'!C:C, 'Лист2'!A:A, A482, 'Лист2'!B:B, B482)</f>
        <v>60</v>
      </c>
      <c r="F482" s="7">
        <f>SUMIFS('Лист2'!D:D, 'Лист2'!A:A, A482, 'Лист2'!B:B, B482)</f>
        <v>11935</v>
      </c>
      <c r="G482" s="7">
        <f>SUMIFS('Лист2'!E:E, 'Лист2'!A:A, A482, 'Лист2'!B:B, B482)</f>
        <v>11178</v>
      </c>
      <c r="H482" s="8">
        <f t="shared" si="1"/>
        <v>332373.925</v>
      </c>
      <c r="I482" s="8">
        <f t="shared" si="2"/>
        <v>20</v>
      </c>
    </row>
    <row r="483" ht="14.25" customHeight="1">
      <c r="A483" s="9">
        <v>43966.0</v>
      </c>
      <c r="B483" s="10" t="s">
        <v>21</v>
      </c>
      <c r="C483" s="10">
        <v>230896.5</v>
      </c>
      <c r="D483" s="10">
        <v>2.3085222E7</v>
      </c>
      <c r="E483" s="7">
        <f>SUMIFS('Лист2'!C:C, 'Лист2'!A:A, A483, 'Лист2'!B:B, B483)</f>
        <v>60</v>
      </c>
      <c r="F483" s="7">
        <f>SUMIFS('Лист2'!D:D, 'Лист2'!A:A, A483, 'Лист2'!B:B, B483)</f>
        <v>13544</v>
      </c>
      <c r="G483" s="7">
        <f>SUMIFS('Лист2'!E:E, 'Лист2'!A:A, A483, 'Лист2'!B:B, B483)</f>
        <v>12643</v>
      </c>
      <c r="H483" s="8">
        <f t="shared" si="1"/>
        <v>384753.7</v>
      </c>
      <c r="I483" s="8">
        <f t="shared" si="2"/>
        <v>20</v>
      </c>
    </row>
    <row r="484" ht="14.25" customHeight="1">
      <c r="A484" s="5">
        <v>43978.0</v>
      </c>
      <c r="B484" s="6" t="s">
        <v>22</v>
      </c>
      <c r="C484" s="6">
        <v>203532.0</v>
      </c>
      <c r="D484" s="6">
        <v>2.09533245E7</v>
      </c>
      <c r="E484" s="7">
        <f>SUMIFS('Лист2'!C:C, 'Лист2'!A:A, A484, 'Лист2'!B:B, B484)</f>
        <v>54</v>
      </c>
      <c r="F484" s="7">
        <f>SUMIFS('Лист2'!D:D, 'Лист2'!A:A, A484, 'Лист2'!B:B, B484)</f>
        <v>13091</v>
      </c>
      <c r="G484" s="7">
        <f>SUMIFS('Лист2'!E:E, 'Лист2'!A:A, A484, 'Лист2'!B:B, B484)</f>
        <v>12216</v>
      </c>
      <c r="H484" s="8">
        <f t="shared" si="1"/>
        <v>388024.5278</v>
      </c>
      <c r="I484" s="8">
        <f t="shared" si="2"/>
        <v>22</v>
      </c>
    </row>
    <row r="485" ht="14.25" customHeight="1">
      <c r="A485" s="9">
        <v>43973.0</v>
      </c>
      <c r="B485" s="10" t="s">
        <v>22</v>
      </c>
      <c r="C485" s="10">
        <v>214428.0</v>
      </c>
      <c r="D485" s="10">
        <v>2.08125855E7</v>
      </c>
      <c r="E485" s="7">
        <f>SUMIFS('Лист2'!C:C, 'Лист2'!A:A, A485, 'Лист2'!B:B, B485)</f>
        <v>54</v>
      </c>
      <c r="F485" s="7">
        <f>SUMIFS('Лист2'!D:D, 'Лист2'!A:A, A485, 'Лист2'!B:B, B485)</f>
        <v>13014</v>
      </c>
      <c r="G485" s="7">
        <f>SUMIFS('Лист2'!E:E, 'Лист2'!A:A, A485, 'Лист2'!B:B, B485)</f>
        <v>12095</v>
      </c>
      <c r="H485" s="8">
        <f t="shared" si="1"/>
        <v>385418.25</v>
      </c>
      <c r="I485" s="8">
        <f t="shared" si="2"/>
        <v>21</v>
      </c>
    </row>
    <row r="486" ht="14.25" customHeight="1">
      <c r="A486" s="5">
        <v>43983.0</v>
      </c>
      <c r="B486" s="6" t="s">
        <v>22</v>
      </c>
      <c r="C486" s="6">
        <v>183228.0</v>
      </c>
      <c r="D486" s="6">
        <v>1.89141945E7</v>
      </c>
      <c r="E486" s="7">
        <f>SUMIFS('Лист2'!C:C, 'Лист2'!A:A, A486, 'Лист2'!B:B, B486)</f>
        <v>54</v>
      </c>
      <c r="F486" s="7">
        <f>SUMIFS('Лист2'!D:D, 'Лист2'!A:A, A486, 'Лист2'!B:B, B486)</f>
        <v>11864</v>
      </c>
      <c r="G486" s="7">
        <f>SUMIFS('Лист2'!E:E, 'Лист2'!A:A, A486, 'Лист2'!B:B, B486)</f>
        <v>11071</v>
      </c>
      <c r="H486" s="8">
        <f t="shared" si="1"/>
        <v>350262.8611</v>
      </c>
      <c r="I486" s="8">
        <f t="shared" si="2"/>
        <v>23</v>
      </c>
    </row>
    <row r="487" ht="14.25" customHeight="1">
      <c r="A487" s="9">
        <v>43962.0</v>
      </c>
      <c r="B487" s="10" t="s">
        <v>22</v>
      </c>
      <c r="C487" s="10">
        <v>166948.5</v>
      </c>
      <c r="D487" s="10">
        <v>1.6971231E7</v>
      </c>
      <c r="E487" s="7">
        <f>SUMIFS('Лист2'!C:C, 'Лист2'!A:A, A487, 'Лист2'!B:B, B487)</f>
        <v>54</v>
      </c>
      <c r="F487" s="7">
        <f>SUMIFS('Лист2'!D:D, 'Лист2'!A:A, A487, 'Лист2'!B:B, B487)</f>
        <v>10570</v>
      </c>
      <c r="G487" s="7">
        <f>SUMIFS('Лист2'!E:E, 'Лист2'!A:A, A487, 'Лист2'!B:B, B487)</f>
        <v>9926</v>
      </c>
      <c r="H487" s="8">
        <f t="shared" si="1"/>
        <v>314282.0556</v>
      </c>
      <c r="I487" s="8">
        <f t="shared" si="2"/>
        <v>20</v>
      </c>
    </row>
    <row r="488" ht="14.25" customHeight="1">
      <c r="A488" s="5">
        <v>43980.0</v>
      </c>
      <c r="B488" s="6" t="s">
        <v>21</v>
      </c>
      <c r="C488" s="6">
        <v>232102.5</v>
      </c>
      <c r="D488" s="6">
        <v>2.31204435E7</v>
      </c>
      <c r="E488" s="7">
        <f>SUMIFS('Лист2'!C:C, 'Лист2'!A:A, A488, 'Лист2'!B:B, B488)</f>
        <v>59</v>
      </c>
      <c r="F488" s="7">
        <f>SUMIFS('Лист2'!D:D, 'Лист2'!A:A, A488, 'Лист2'!B:B, B488)</f>
        <v>14507</v>
      </c>
      <c r="G488" s="7">
        <f>SUMIFS('Лист2'!E:E, 'Лист2'!A:A, A488, 'Лист2'!B:B, B488)</f>
        <v>13386</v>
      </c>
      <c r="H488" s="8">
        <f t="shared" si="1"/>
        <v>391871.9237</v>
      </c>
      <c r="I488" s="8">
        <f t="shared" si="2"/>
        <v>22</v>
      </c>
    </row>
    <row r="489" ht="14.25" customHeight="1">
      <c r="A489" s="9">
        <v>43969.0</v>
      </c>
      <c r="B489" s="10" t="s">
        <v>22</v>
      </c>
      <c r="C489" s="10">
        <v>196560.0</v>
      </c>
      <c r="D489" s="10">
        <v>1.9855122E7</v>
      </c>
      <c r="E489" s="7">
        <f>SUMIFS('Лист2'!C:C, 'Лист2'!A:A, A489, 'Лист2'!B:B, B489)</f>
        <v>54</v>
      </c>
      <c r="F489" s="7">
        <f>SUMIFS('Лист2'!D:D, 'Лист2'!A:A, A489, 'Лист2'!B:B, B489)</f>
        <v>12012</v>
      </c>
      <c r="G489" s="7">
        <f>SUMIFS('Лист2'!E:E, 'Лист2'!A:A, A489, 'Лист2'!B:B, B489)</f>
        <v>11308</v>
      </c>
      <c r="H489" s="8">
        <f t="shared" si="1"/>
        <v>367687.4444</v>
      </c>
      <c r="I489" s="8">
        <f t="shared" si="2"/>
        <v>21</v>
      </c>
    </row>
    <row r="490" ht="14.25" customHeight="1">
      <c r="A490" s="5">
        <v>43965.0</v>
      </c>
      <c r="B490" s="6" t="s">
        <v>22</v>
      </c>
      <c r="C490" s="6">
        <v>186496.5</v>
      </c>
      <c r="D490" s="6">
        <v>1.8640998E7</v>
      </c>
      <c r="E490" s="7">
        <f>SUMIFS('Лист2'!C:C, 'Лист2'!A:A, A490, 'Лист2'!B:B, B490)</f>
        <v>54</v>
      </c>
      <c r="F490" s="7">
        <f>SUMIFS('Лист2'!D:D, 'Лист2'!A:A, A490, 'Лист2'!B:B, B490)</f>
        <v>11194</v>
      </c>
      <c r="G490" s="7">
        <f>SUMIFS('Лист2'!E:E, 'Лист2'!A:A, A490, 'Лист2'!B:B, B490)</f>
        <v>10554</v>
      </c>
      <c r="H490" s="8">
        <f t="shared" si="1"/>
        <v>345203.6667</v>
      </c>
      <c r="I490" s="8">
        <f t="shared" si="2"/>
        <v>20</v>
      </c>
    </row>
    <row r="491" ht="14.25" customHeight="1">
      <c r="A491" s="9">
        <v>43966.0</v>
      </c>
      <c r="B491" s="10" t="s">
        <v>22</v>
      </c>
      <c r="C491" s="10">
        <v>219772.5</v>
      </c>
      <c r="D491" s="10">
        <v>2.18952945E7</v>
      </c>
      <c r="E491" s="7">
        <f>SUMIFS('Лист2'!C:C, 'Лист2'!A:A, A491, 'Лист2'!B:B, B491)</f>
        <v>54</v>
      </c>
      <c r="F491" s="7">
        <f>SUMIFS('Лист2'!D:D, 'Лист2'!A:A, A491, 'Лист2'!B:B, B491)</f>
        <v>12791</v>
      </c>
      <c r="G491" s="7">
        <f>SUMIFS('Лист2'!E:E, 'Лист2'!A:A, A491, 'Лист2'!B:B, B491)</f>
        <v>11950</v>
      </c>
      <c r="H491" s="8">
        <f t="shared" si="1"/>
        <v>405468.4167</v>
      </c>
      <c r="I491" s="8">
        <f t="shared" si="2"/>
        <v>20</v>
      </c>
    </row>
    <row r="492" ht="14.25" customHeight="1">
      <c r="A492" s="5">
        <v>43980.0</v>
      </c>
      <c r="B492" s="6" t="s">
        <v>22</v>
      </c>
      <c r="C492" s="6">
        <v>226476.0</v>
      </c>
      <c r="D492" s="6">
        <v>2.24161515E7</v>
      </c>
      <c r="E492" s="7">
        <f>SUMIFS('Лист2'!C:C, 'Лист2'!A:A, A492, 'Лист2'!B:B, B492)</f>
        <v>54</v>
      </c>
      <c r="F492" s="7">
        <f>SUMIFS('Лист2'!D:D, 'Лист2'!A:A, A492, 'Лист2'!B:B, B492)</f>
        <v>14031</v>
      </c>
      <c r="G492" s="7">
        <f>SUMIFS('Лист2'!E:E, 'Лист2'!A:A, A492, 'Лист2'!B:B, B492)</f>
        <v>12943</v>
      </c>
      <c r="H492" s="8">
        <f t="shared" si="1"/>
        <v>415113.9167</v>
      </c>
      <c r="I492" s="8">
        <f t="shared" si="2"/>
        <v>22</v>
      </c>
    </row>
    <row r="493" ht="14.25" customHeight="1">
      <c r="A493" s="9">
        <v>43978.0</v>
      </c>
      <c r="B493" s="10" t="s">
        <v>24</v>
      </c>
      <c r="C493" s="10">
        <v>8362.5</v>
      </c>
      <c r="D493" s="10">
        <v>687684.0</v>
      </c>
      <c r="E493" s="7">
        <f>SUMIFS('Лист2'!C:C, 'Лист2'!A:A, A493, 'Лист2'!B:B, B493)</f>
        <v>7</v>
      </c>
      <c r="F493" s="7">
        <f>SUMIFS('Лист2'!D:D, 'Лист2'!A:A, A493, 'Лист2'!B:B, B493)</f>
        <v>409</v>
      </c>
      <c r="G493" s="7">
        <f>SUMIFS('Лист2'!E:E, 'Лист2'!A:A, A493, 'Лист2'!B:B, B493)</f>
        <v>329</v>
      </c>
      <c r="H493" s="8">
        <f t="shared" si="1"/>
        <v>98240.57143</v>
      </c>
      <c r="I493" s="8">
        <f t="shared" si="2"/>
        <v>22</v>
      </c>
    </row>
    <row r="494" ht="14.25" customHeight="1">
      <c r="A494" s="5">
        <v>43973.0</v>
      </c>
      <c r="B494" s="6" t="s">
        <v>23</v>
      </c>
      <c r="C494" s="6">
        <v>17008.5</v>
      </c>
      <c r="D494" s="6">
        <v>1398771.0</v>
      </c>
      <c r="E494" s="7">
        <f>SUMIFS('Лист2'!C:C, 'Лист2'!A:A, A494, 'Лист2'!B:B, B494)</f>
        <v>18</v>
      </c>
      <c r="F494" s="7">
        <f>SUMIFS('Лист2'!D:D, 'Лист2'!A:A, A494, 'Лист2'!B:B, B494)</f>
        <v>985</v>
      </c>
      <c r="G494" s="7">
        <f>SUMIFS('Лист2'!E:E, 'Лист2'!A:A, A494, 'Лист2'!B:B, B494)</f>
        <v>861</v>
      </c>
      <c r="H494" s="8">
        <f t="shared" si="1"/>
        <v>77709.5</v>
      </c>
      <c r="I494" s="8">
        <f t="shared" si="2"/>
        <v>21</v>
      </c>
    </row>
    <row r="495" ht="14.25" customHeight="1">
      <c r="A495" s="9">
        <v>43983.0</v>
      </c>
      <c r="B495" s="10" t="s">
        <v>25</v>
      </c>
      <c r="C495" s="10">
        <v>5166.0</v>
      </c>
      <c r="D495" s="10">
        <v>389013.0</v>
      </c>
      <c r="E495" s="7">
        <f>SUMIFS('Лист2'!C:C, 'Лист2'!A:A, A495, 'Лист2'!B:B, B495)</f>
        <v>9</v>
      </c>
      <c r="F495" s="7">
        <f>SUMIFS('Лист2'!D:D, 'Лист2'!A:A, A495, 'Лист2'!B:B, B495)</f>
        <v>294</v>
      </c>
      <c r="G495" s="7">
        <f>SUMIFS('Лист2'!E:E, 'Лист2'!A:A, A495, 'Лист2'!B:B, B495)</f>
        <v>224</v>
      </c>
      <c r="H495" s="8">
        <f t="shared" si="1"/>
        <v>43223.66667</v>
      </c>
      <c r="I495" s="8">
        <f t="shared" si="2"/>
        <v>23</v>
      </c>
    </row>
    <row r="496" ht="14.25" customHeight="1">
      <c r="A496" s="5">
        <v>43962.0</v>
      </c>
      <c r="B496" s="6" t="s">
        <v>23</v>
      </c>
      <c r="C496" s="6">
        <v>10941.0</v>
      </c>
      <c r="D496" s="6">
        <v>880356.0</v>
      </c>
      <c r="E496" s="7">
        <f>SUMIFS('Лист2'!C:C, 'Лист2'!A:A, A496, 'Лист2'!B:B, B496)</f>
        <v>15</v>
      </c>
      <c r="F496" s="7">
        <f>SUMIFS('Лист2'!D:D, 'Лист2'!A:A, A496, 'Лист2'!B:B, B496)</f>
        <v>654</v>
      </c>
      <c r="G496" s="7">
        <f>SUMIFS('Лист2'!E:E, 'Лист2'!A:A, A496, 'Лист2'!B:B, B496)</f>
        <v>564</v>
      </c>
      <c r="H496" s="8">
        <f t="shared" si="1"/>
        <v>58690.4</v>
      </c>
      <c r="I496" s="8">
        <f t="shared" si="2"/>
        <v>20</v>
      </c>
    </row>
    <row r="497" ht="14.25" customHeight="1">
      <c r="A497" s="9">
        <v>43969.0</v>
      </c>
      <c r="B497" s="10" t="s">
        <v>23</v>
      </c>
      <c r="C497" s="10">
        <v>14497.5</v>
      </c>
      <c r="D497" s="10">
        <v>1230711.0</v>
      </c>
      <c r="E497" s="7">
        <f>SUMIFS('Лист2'!C:C, 'Лист2'!A:A, A497, 'Лист2'!B:B, B497)</f>
        <v>16</v>
      </c>
      <c r="F497" s="7">
        <f>SUMIFS('Лист2'!D:D, 'Лист2'!A:A, A497, 'Лист2'!B:B, B497)</f>
        <v>864</v>
      </c>
      <c r="G497" s="7">
        <f>SUMIFS('Лист2'!E:E, 'Лист2'!A:A, A497, 'Лист2'!B:B, B497)</f>
        <v>765</v>
      </c>
      <c r="H497" s="8">
        <f t="shared" si="1"/>
        <v>76919.4375</v>
      </c>
      <c r="I497" s="8">
        <f t="shared" si="2"/>
        <v>21</v>
      </c>
    </row>
    <row r="498" ht="14.25" customHeight="1">
      <c r="A498" s="5">
        <v>43965.0</v>
      </c>
      <c r="B498" s="6" t="s">
        <v>23</v>
      </c>
      <c r="C498" s="6">
        <v>13810.5</v>
      </c>
      <c r="D498" s="6">
        <v>1131676.5</v>
      </c>
      <c r="E498" s="7">
        <f>SUMIFS('Лист2'!C:C, 'Лист2'!A:A, A498, 'Лист2'!B:B, B498)</f>
        <v>16</v>
      </c>
      <c r="F498" s="7">
        <f>SUMIFS('Лист2'!D:D, 'Лист2'!A:A, A498, 'Лист2'!B:B, B498)</f>
        <v>834</v>
      </c>
      <c r="G498" s="7">
        <f>SUMIFS('Лист2'!E:E, 'Лист2'!A:A, A498, 'Лист2'!B:B, B498)</f>
        <v>735</v>
      </c>
      <c r="H498" s="8">
        <f t="shared" si="1"/>
        <v>70729.78125</v>
      </c>
      <c r="I498" s="8">
        <f t="shared" si="2"/>
        <v>20</v>
      </c>
    </row>
    <row r="499" ht="14.25" customHeight="1">
      <c r="A499" s="9">
        <v>43966.0</v>
      </c>
      <c r="B499" s="10" t="s">
        <v>23</v>
      </c>
      <c r="C499" s="10">
        <v>13752.0</v>
      </c>
      <c r="D499" s="10">
        <v>1091040.0</v>
      </c>
      <c r="E499" s="7">
        <f>SUMIFS('Лист2'!C:C, 'Лист2'!A:A, A499, 'Лист2'!B:B, B499)</f>
        <v>16</v>
      </c>
      <c r="F499" s="7">
        <f>SUMIFS('Лист2'!D:D, 'Лист2'!A:A, A499, 'Лист2'!B:B, B499)</f>
        <v>817</v>
      </c>
      <c r="G499" s="7">
        <f>SUMIFS('Лист2'!E:E, 'Лист2'!A:A, A499, 'Лист2'!B:B, B499)</f>
        <v>718</v>
      </c>
      <c r="H499" s="8">
        <f t="shared" si="1"/>
        <v>68190</v>
      </c>
      <c r="I499" s="8">
        <f t="shared" si="2"/>
        <v>20</v>
      </c>
    </row>
    <row r="500" ht="14.25" customHeight="1">
      <c r="A500" s="5">
        <v>43978.0</v>
      </c>
      <c r="B500" s="6" t="s">
        <v>23</v>
      </c>
      <c r="C500" s="6">
        <v>15276.0</v>
      </c>
      <c r="D500" s="6">
        <v>1350199.5</v>
      </c>
      <c r="E500" s="7">
        <f>SUMIFS('Лист2'!C:C, 'Лист2'!A:A, A500, 'Лист2'!B:B, B500)</f>
        <v>18</v>
      </c>
      <c r="F500" s="7">
        <f>SUMIFS('Лист2'!D:D, 'Лист2'!A:A, A500, 'Лист2'!B:B, B500)</f>
        <v>962</v>
      </c>
      <c r="G500" s="7">
        <f>SUMIFS('Лист2'!E:E, 'Лист2'!A:A, A500, 'Лист2'!B:B, B500)</f>
        <v>859</v>
      </c>
      <c r="H500" s="8">
        <f t="shared" si="1"/>
        <v>75011.08333</v>
      </c>
      <c r="I500" s="8">
        <f t="shared" si="2"/>
        <v>22</v>
      </c>
    </row>
    <row r="501" ht="14.25" customHeight="1">
      <c r="A501" s="9">
        <v>43983.0</v>
      </c>
      <c r="B501" s="10" t="s">
        <v>26</v>
      </c>
      <c r="C501" s="10">
        <v>4408.5</v>
      </c>
      <c r="D501" s="10">
        <v>410892.0</v>
      </c>
      <c r="E501" s="7">
        <f>SUMIFS('Лист2'!C:C, 'Лист2'!A:A, A501, 'Лист2'!B:B, B501)</f>
        <v>6</v>
      </c>
      <c r="F501" s="7">
        <f>SUMIFS('Лист2'!D:D, 'Лист2'!A:A, A501, 'Лист2'!B:B, B501)</f>
        <v>237</v>
      </c>
      <c r="G501" s="7">
        <f>SUMIFS('Лист2'!E:E, 'Лист2'!A:A, A501, 'Лист2'!B:B, B501)</f>
        <v>175</v>
      </c>
      <c r="H501" s="8">
        <f t="shared" si="1"/>
        <v>68482</v>
      </c>
      <c r="I501" s="8">
        <f t="shared" si="2"/>
        <v>23</v>
      </c>
    </row>
    <row r="502" ht="14.25" customHeight="1">
      <c r="A502" s="5">
        <v>43980.0</v>
      </c>
      <c r="B502" s="6" t="s">
        <v>24</v>
      </c>
      <c r="C502" s="6">
        <v>9927.0</v>
      </c>
      <c r="D502" s="6">
        <v>850840.5</v>
      </c>
      <c r="E502" s="7">
        <f>SUMIFS('Лист2'!C:C, 'Лист2'!A:A, A502, 'Лист2'!B:B, B502)</f>
        <v>7</v>
      </c>
      <c r="F502" s="7">
        <f>SUMIFS('Лист2'!D:D, 'Лист2'!A:A, A502, 'Лист2'!B:B, B502)</f>
        <v>491</v>
      </c>
      <c r="G502" s="7">
        <f>SUMIFS('Лист2'!E:E, 'Лист2'!A:A, A502, 'Лист2'!B:B, B502)</f>
        <v>411</v>
      </c>
      <c r="H502" s="8">
        <f t="shared" si="1"/>
        <v>121548.6429</v>
      </c>
      <c r="I502" s="8">
        <f t="shared" si="2"/>
        <v>22</v>
      </c>
    </row>
    <row r="503" ht="14.25" customHeight="1">
      <c r="A503" s="9">
        <v>43983.0</v>
      </c>
      <c r="B503" s="10" t="s">
        <v>24</v>
      </c>
      <c r="C503" s="10">
        <v>9474.0</v>
      </c>
      <c r="D503" s="10">
        <v>802447.5</v>
      </c>
      <c r="E503" s="7">
        <f>SUMIFS('Лист2'!C:C, 'Лист2'!A:A, A503, 'Лист2'!B:B, B503)</f>
        <v>7</v>
      </c>
      <c r="F503" s="7">
        <f>SUMIFS('Лист2'!D:D, 'Лист2'!A:A, A503, 'Лист2'!B:B, B503)</f>
        <v>500</v>
      </c>
      <c r="G503" s="7">
        <f>SUMIFS('Лист2'!E:E, 'Лист2'!A:A, A503, 'Лист2'!B:B, B503)</f>
        <v>418</v>
      </c>
      <c r="H503" s="8">
        <f t="shared" si="1"/>
        <v>114635.3571</v>
      </c>
      <c r="I503" s="8">
        <f t="shared" si="2"/>
        <v>23</v>
      </c>
    </row>
    <row r="504" ht="14.25" customHeight="1">
      <c r="A504" s="5">
        <v>43980.0</v>
      </c>
      <c r="B504" s="6" t="s">
        <v>23</v>
      </c>
      <c r="C504" s="6">
        <v>16878.0</v>
      </c>
      <c r="D504" s="6">
        <v>1438255.5</v>
      </c>
      <c r="E504" s="7">
        <f>SUMIFS('Лист2'!C:C, 'Лист2'!A:A, A504, 'Лист2'!B:B, B504)</f>
        <v>18</v>
      </c>
      <c r="F504" s="7">
        <f>SUMIFS('Лист2'!D:D, 'Лист2'!A:A, A504, 'Лист2'!B:B, B504)</f>
        <v>1014</v>
      </c>
      <c r="G504" s="7">
        <f>SUMIFS('Лист2'!E:E, 'Лист2'!A:A, A504, 'Лист2'!B:B, B504)</f>
        <v>893</v>
      </c>
      <c r="H504" s="8">
        <f t="shared" si="1"/>
        <v>79903.08333</v>
      </c>
      <c r="I504" s="8">
        <f t="shared" si="2"/>
        <v>22</v>
      </c>
    </row>
    <row r="505" ht="14.25" customHeight="1">
      <c r="A505" s="11">
        <v>43983.0</v>
      </c>
      <c r="B505" s="12" t="s">
        <v>23</v>
      </c>
      <c r="C505" s="12">
        <v>14238.0</v>
      </c>
      <c r="D505" s="12">
        <v>1293219.0</v>
      </c>
      <c r="E505" s="7">
        <f>SUMIFS('Лист2'!C:C, 'Лист2'!A:A, A505, 'Лист2'!B:B, B505)</f>
        <v>18</v>
      </c>
      <c r="F505" s="7">
        <f>SUMIFS('Лист2'!D:D, 'Лист2'!A:A, A505, 'Лист2'!B:B, B505)</f>
        <v>923</v>
      </c>
      <c r="G505" s="7">
        <f>SUMIFS('Лист2'!E:E, 'Лист2'!A:A, A505, 'Лист2'!B:B, B505)</f>
        <v>824</v>
      </c>
      <c r="H505" s="8">
        <f t="shared" si="1"/>
        <v>71845.5</v>
      </c>
      <c r="I505" s="8">
        <f t="shared" si="2"/>
        <v>23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26" width="8.71"/>
  </cols>
  <sheetData>
    <row r="1" ht="14.25" customHeight="1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ht="14.25" customHeight="1">
      <c r="A2" s="14">
        <v>43949.0</v>
      </c>
      <c r="B2" s="7" t="s">
        <v>16</v>
      </c>
      <c r="C2" s="7">
        <v>36.0</v>
      </c>
      <c r="D2" s="7">
        <v>4923.0</v>
      </c>
      <c r="E2" s="7">
        <v>4560.0</v>
      </c>
    </row>
    <row r="3" ht="14.25" customHeight="1">
      <c r="A3" s="14">
        <v>43949.0</v>
      </c>
      <c r="B3" s="7" t="s">
        <v>11</v>
      </c>
      <c r="C3" s="7">
        <v>31.0</v>
      </c>
      <c r="D3" s="7">
        <v>5465.0</v>
      </c>
      <c r="E3" s="7">
        <v>5096.0</v>
      </c>
    </row>
    <row r="4" ht="14.25" customHeight="1">
      <c r="A4" s="14">
        <v>43949.0</v>
      </c>
      <c r="B4" s="7" t="s">
        <v>17</v>
      </c>
      <c r="C4" s="7">
        <v>19.0</v>
      </c>
      <c r="D4" s="7">
        <v>1846.0</v>
      </c>
      <c r="E4" s="7">
        <v>1681.0</v>
      </c>
    </row>
    <row r="5" ht="14.25" customHeight="1">
      <c r="A5" s="14">
        <v>43949.0</v>
      </c>
      <c r="B5" s="7" t="s">
        <v>10</v>
      </c>
      <c r="C5" s="7">
        <v>18.0</v>
      </c>
      <c r="D5" s="7">
        <v>1539.0</v>
      </c>
      <c r="E5" s="7">
        <v>1404.0</v>
      </c>
    </row>
    <row r="6" ht="14.25" customHeight="1">
      <c r="A6" s="14">
        <v>43949.0</v>
      </c>
      <c r="B6" s="7" t="s">
        <v>20</v>
      </c>
      <c r="C6" s="7">
        <v>18.0</v>
      </c>
      <c r="D6" s="7">
        <v>1505.0</v>
      </c>
      <c r="E6" s="7">
        <v>1368.0</v>
      </c>
    </row>
    <row r="7" ht="14.25" customHeight="1">
      <c r="A7" s="14">
        <v>43949.0</v>
      </c>
      <c r="B7" s="7" t="s">
        <v>22</v>
      </c>
      <c r="C7" s="7">
        <v>54.0</v>
      </c>
      <c r="D7" s="7">
        <v>12306.0</v>
      </c>
      <c r="E7" s="7">
        <v>11532.0</v>
      </c>
    </row>
    <row r="8" ht="14.25" customHeight="1">
      <c r="A8" s="14">
        <v>43949.0</v>
      </c>
      <c r="B8" s="7" t="s">
        <v>21</v>
      </c>
      <c r="C8" s="7">
        <v>59.0</v>
      </c>
      <c r="D8" s="7">
        <v>12943.0</v>
      </c>
      <c r="E8" s="7">
        <v>12072.0</v>
      </c>
    </row>
    <row r="9" ht="14.25" customHeight="1">
      <c r="A9" s="14">
        <v>43949.0</v>
      </c>
      <c r="B9" s="7" t="s">
        <v>13</v>
      </c>
      <c r="C9" s="7">
        <v>17.0</v>
      </c>
      <c r="D9" s="7">
        <v>1439.0</v>
      </c>
      <c r="E9" s="7">
        <v>1265.0</v>
      </c>
    </row>
    <row r="10" ht="14.25" customHeight="1">
      <c r="A10" s="14">
        <v>43949.0</v>
      </c>
      <c r="B10" s="7" t="s">
        <v>23</v>
      </c>
      <c r="C10" s="7">
        <v>15.0</v>
      </c>
      <c r="D10" s="7">
        <v>636.0</v>
      </c>
      <c r="E10" s="7">
        <v>547.0</v>
      </c>
    </row>
    <row r="11" ht="14.25" customHeight="1">
      <c r="A11" s="14">
        <v>43949.0</v>
      </c>
      <c r="B11" s="7" t="s">
        <v>18</v>
      </c>
      <c r="C11" s="7">
        <v>15.0</v>
      </c>
      <c r="D11" s="7">
        <v>780.0</v>
      </c>
      <c r="E11" s="7">
        <v>690.0</v>
      </c>
    </row>
    <row r="12" ht="14.25" customHeight="1">
      <c r="A12" s="14">
        <v>43949.0</v>
      </c>
      <c r="B12" s="7" t="s">
        <v>15</v>
      </c>
      <c r="C12" s="7">
        <v>125.0</v>
      </c>
      <c r="D12" s="7">
        <v>20914.0</v>
      </c>
      <c r="E12" s="7">
        <v>19479.0</v>
      </c>
    </row>
    <row r="13" ht="14.25" customHeight="1">
      <c r="A13" s="14">
        <v>43949.0</v>
      </c>
      <c r="B13" s="7" t="s">
        <v>14</v>
      </c>
      <c r="C13" s="7">
        <v>128.0</v>
      </c>
      <c r="D13" s="7">
        <v>16450.0</v>
      </c>
      <c r="E13" s="7">
        <v>15320.0</v>
      </c>
    </row>
    <row r="14" ht="14.25" customHeight="1">
      <c r="A14" s="14">
        <v>43949.0</v>
      </c>
      <c r="B14" s="7" t="s">
        <v>12</v>
      </c>
      <c r="C14" s="7">
        <v>10.0</v>
      </c>
      <c r="D14" s="7">
        <v>580.0</v>
      </c>
      <c r="E14" s="7">
        <v>506.0</v>
      </c>
    </row>
    <row r="15" ht="14.25" customHeight="1">
      <c r="A15" s="14">
        <v>43950.0</v>
      </c>
      <c r="B15" s="7" t="s">
        <v>16</v>
      </c>
      <c r="C15" s="7">
        <v>36.0</v>
      </c>
      <c r="D15" s="7">
        <v>4937.0</v>
      </c>
      <c r="E15" s="7">
        <v>4561.0</v>
      </c>
    </row>
    <row r="16" ht="14.25" customHeight="1">
      <c r="A16" s="14">
        <v>43950.0</v>
      </c>
      <c r="B16" s="7" t="s">
        <v>11</v>
      </c>
      <c r="C16" s="7">
        <v>31.0</v>
      </c>
      <c r="D16" s="7">
        <v>5378.0</v>
      </c>
      <c r="E16" s="7">
        <v>4985.0</v>
      </c>
    </row>
    <row r="17" ht="14.25" customHeight="1">
      <c r="A17" s="14">
        <v>43950.0</v>
      </c>
      <c r="B17" s="7" t="s">
        <v>17</v>
      </c>
      <c r="C17" s="7">
        <v>19.0</v>
      </c>
      <c r="D17" s="7">
        <v>1676.0</v>
      </c>
      <c r="E17" s="7">
        <v>1516.0</v>
      </c>
    </row>
    <row r="18" ht="14.25" customHeight="1">
      <c r="A18" s="14">
        <v>43950.0</v>
      </c>
      <c r="B18" s="7" t="s">
        <v>10</v>
      </c>
      <c r="C18" s="7">
        <v>18.0</v>
      </c>
      <c r="D18" s="7">
        <v>1684.0</v>
      </c>
      <c r="E18" s="7">
        <v>1528.0</v>
      </c>
    </row>
    <row r="19" ht="14.25" customHeight="1">
      <c r="A19" s="14">
        <v>43950.0</v>
      </c>
      <c r="B19" s="7" t="s">
        <v>20</v>
      </c>
      <c r="C19" s="7">
        <v>18.0</v>
      </c>
      <c r="D19" s="7">
        <v>1599.0</v>
      </c>
      <c r="E19" s="7">
        <v>1450.0</v>
      </c>
    </row>
    <row r="20" ht="14.25" customHeight="1">
      <c r="A20" s="14">
        <v>43950.0</v>
      </c>
      <c r="B20" s="7" t="s">
        <v>22</v>
      </c>
      <c r="C20" s="7">
        <v>54.0</v>
      </c>
      <c r="D20" s="7">
        <v>12747.0</v>
      </c>
      <c r="E20" s="7">
        <v>11884.0</v>
      </c>
    </row>
    <row r="21" ht="14.25" customHeight="1">
      <c r="A21" s="14">
        <v>43950.0</v>
      </c>
      <c r="B21" s="7" t="s">
        <v>21</v>
      </c>
      <c r="C21" s="7">
        <v>59.0</v>
      </c>
      <c r="D21" s="7">
        <v>13186.0</v>
      </c>
      <c r="E21" s="7">
        <v>12251.0</v>
      </c>
    </row>
    <row r="22" ht="14.25" customHeight="1">
      <c r="A22" s="14">
        <v>43950.0</v>
      </c>
      <c r="B22" s="7" t="s">
        <v>13</v>
      </c>
      <c r="C22" s="7">
        <v>18.0</v>
      </c>
      <c r="D22" s="7">
        <v>1534.0</v>
      </c>
      <c r="E22" s="7">
        <v>1369.0</v>
      </c>
    </row>
    <row r="23" ht="14.25" customHeight="1">
      <c r="A23" s="14">
        <v>43950.0</v>
      </c>
      <c r="B23" s="7" t="s">
        <v>23</v>
      </c>
      <c r="C23" s="7">
        <v>15.0</v>
      </c>
      <c r="D23" s="7">
        <v>659.0</v>
      </c>
      <c r="E23" s="7">
        <v>575.0</v>
      </c>
    </row>
    <row r="24" ht="14.25" customHeight="1">
      <c r="A24" s="14">
        <v>43950.0</v>
      </c>
      <c r="B24" s="7" t="s">
        <v>18</v>
      </c>
      <c r="C24" s="7">
        <v>15.0</v>
      </c>
      <c r="D24" s="7">
        <v>786.0</v>
      </c>
      <c r="E24" s="7">
        <v>695.0</v>
      </c>
    </row>
    <row r="25" ht="14.25" customHeight="1">
      <c r="A25" s="14">
        <v>43950.0</v>
      </c>
      <c r="B25" s="7" t="s">
        <v>15</v>
      </c>
      <c r="C25" s="7">
        <v>125.0</v>
      </c>
      <c r="D25" s="7">
        <v>21863.0</v>
      </c>
      <c r="E25" s="7">
        <v>20160.0</v>
      </c>
    </row>
    <row r="26" ht="14.25" customHeight="1">
      <c r="A26" s="14">
        <v>43950.0</v>
      </c>
      <c r="B26" s="7" t="s">
        <v>14</v>
      </c>
      <c r="C26" s="7">
        <v>128.0</v>
      </c>
      <c r="D26" s="7">
        <v>17368.0</v>
      </c>
      <c r="E26" s="7">
        <v>16077.0</v>
      </c>
    </row>
    <row r="27" ht="14.25" customHeight="1">
      <c r="A27" s="14">
        <v>43950.0</v>
      </c>
      <c r="B27" s="7" t="s">
        <v>12</v>
      </c>
      <c r="C27" s="7">
        <v>10.0</v>
      </c>
      <c r="D27" s="7">
        <v>502.0</v>
      </c>
      <c r="E27" s="7">
        <v>433.0</v>
      </c>
    </row>
    <row r="28" ht="14.25" customHeight="1">
      <c r="A28" s="14">
        <v>43951.0</v>
      </c>
      <c r="B28" s="7" t="s">
        <v>16</v>
      </c>
      <c r="C28" s="7">
        <v>36.0</v>
      </c>
      <c r="D28" s="7">
        <v>5143.0</v>
      </c>
      <c r="E28" s="7">
        <v>4715.0</v>
      </c>
    </row>
    <row r="29" ht="14.25" customHeight="1">
      <c r="A29" s="14">
        <v>43951.0</v>
      </c>
      <c r="B29" s="7" t="s">
        <v>11</v>
      </c>
      <c r="C29" s="7">
        <v>31.0</v>
      </c>
      <c r="D29" s="7">
        <v>5120.0</v>
      </c>
      <c r="E29" s="7">
        <v>4737.0</v>
      </c>
    </row>
    <row r="30" ht="14.25" customHeight="1">
      <c r="A30" s="14">
        <v>43951.0</v>
      </c>
      <c r="B30" s="7" t="s">
        <v>17</v>
      </c>
      <c r="C30" s="7">
        <v>20.0</v>
      </c>
      <c r="D30" s="7">
        <v>1756.0</v>
      </c>
      <c r="E30" s="7">
        <v>1586.0</v>
      </c>
    </row>
    <row r="31" ht="14.25" customHeight="1">
      <c r="A31" s="14">
        <v>43951.0</v>
      </c>
      <c r="B31" s="7" t="s">
        <v>10</v>
      </c>
      <c r="C31" s="7">
        <v>19.0</v>
      </c>
      <c r="D31" s="7">
        <v>1712.0</v>
      </c>
      <c r="E31" s="7">
        <v>1552.0</v>
      </c>
    </row>
    <row r="32" ht="14.25" customHeight="1">
      <c r="A32" s="14">
        <v>43951.0</v>
      </c>
      <c r="B32" s="7" t="s">
        <v>20</v>
      </c>
      <c r="C32" s="7">
        <v>19.0</v>
      </c>
      <c r="D32" s="7">
        <v>1662.0</v>
      </c>
      <c r="E32" s="7">
        <v>1506.0</v>
      </c>
    </row>
    <row r="33" ht="14.25" customHeight="1">
      <c r="A33" s="14">
        <v>43951.0</v>
      </c>
      <c r="B33" s="7" t="s">
        <v>22</v>
      </c>
      <c r="C33" s="7">
        <v>54.0</v>
      </c>
      <c r="D33" s="7">
        <v>12817.0</v>
      </c>
      <c r="E33" s="7">
        <v>11865.0</v>
      </c>
    </row>
    <row r="34" ht="14.25" customHeight="1">
      <c r="A34" s="14">
        <v>43951.0</v>
      </c>
      <c r="B34" s="7" t="s">
        <v>21</v>
      </c>
      <c r="C34" s="7">
        <v>59.0</v>
      </c>
      <c r="D34" s="7">
        <v>13251.0</v>
      </c>
      <c r="E34" s="7">
        <v>12255.0</v>
      </c>
    </row>
    <row r="35" ht="14.25" customHeight="1">
      <c r="A35" s="14">
        <v>43951.0</v>
      </c>
      <c r="B35" s="7" t="s">
        <v>13</v>
      </c>
      <c r="C35" s="7">
        <v>19.0</v>
      </c>
      <c r="D35" s="7">
        <v>1499.0</v>
      </c>
      <c r="E35" s="7">
        <v>1322.0</v>
      </c>
    </row>
    <row r="36" ht="14.25" customHeight="1">
      <c r="A36" s="14">
        <v>43951.0</v>
      </c>
      <c r="B36" s="7" t="s">
        <v>23</v>
      </c>
      <c r="C36" s="7">
        <v>15.0</v>
      </c>
      <c r="D36" s="7">
        <v>644.0</v>
      </c>
      <c r="E36" s="7">
        <v>550.0</v>
      </c>
    </row>
    <row r="37" ht="14.25" customHeight="1">
      <c r="A37" s="14">
        <v>43951.0</v>
      </c>
      <c r="B37" s="7" t="s">
        <v>18</v>
      </c>
      <c r="C37" s="7">
        <v>15.0</v>
      </c>
      <c r="D37" s="7">
        <v>791.0</v>
      </c>
      <c r="E37" s="7">
        <v>691.0</v>
      </c>
    </row>
    <row r="38" ht="14.25" customHeight="1">
      <c r="A38" s="14">
        <v>43951.0</v>
      </c>
      <c r="B38" s="7" t="s">
        <v>19</v>
      </c>
      <c r="C38" s="7">
        <v>15.0</v>
      </c>
      <c r="D38" s="7">
        <v>262.0</v>
      </c>
      <c r="E38" s="7">
        <v>195.0</v>
      </c>
    </row>
    <row r="39" ht="14.25" customHeight="1">
      <c r="A39" s="14">
        <v>43951.0</v>
      </c>
      <c r="B39" s="7" t="s">
        <v>15</v>
      </c>
      <c r="C39" s="7">
        <v>125.0</v>
      </c>
      <c r="D39" s="7">
        <v>22368.0</v>
      </c>
      <c r="E39" s="7">
        <v>20625.0</v>
      </c>
    </row>
    <row r="40" ht="14.25" customHeight="1">
      <c r="A40" s="14">
        <v>43951.0</v>
      </c>
      <c r="B40" s="7" t="s">
        <v>14</v>
      </c>
      <c r="C40" s="7">
        <v>129.0</v>
      </c>
      <c r="D40" s="7">
        <v>18042.0</v>
      </c>
      <c r="E40" s="7">
        <v>16631.0</v>
      </c>
    </row>
    <row r="41" ht="14.25" customHeight="1">
      <c r="A41" s="14">
        <v>43951.0</v>
      </c>
      <c r="B41" s="7" t="s">
        <v>12</v>
      </c>
      <c r="C41" s="7">
        <v>10.0</v>
      </c>
      <c r="D41" s="7">
        <v>448.0</v>
      </c>
      <c r="E41" s="7">
        <v>376.0</v>
      </c>
    </row>
    <row r="42" ht="14.25" customHeight="1">
      <c r="A42" s="14">
        <v>43952.0</v>
      </c>
      <c r="B42" s="7" t="s">
        <v>16</v>
      </c>
      <c r="C42" s="7">
        <v>36.0</v>
      </c>
      <c r="D42" s="7">
        <v>5457.0</v>
      </c>
      <c r="E42" s="7">
        <v>4916.0</v>
      </c>
    </row>
    <row r="43" ht="14.25" customHeight="1">
      <c r="A43" s="14">
        <v>43952.0</v>
      </c>
      <c r="B43" s="7" t="s">
        <v>11</v>
      </c>
      <c r="C43" s="7">
        <v>31.0</v>
      </c>
      <c r="D43" s="7">
        <v>6118.0</v>
      </c>
      <c r="E43" s="7">
        <v>5564.0</v>
      </c>
    </row>
    <row r="44" ht="14.25" customHeight="1">
      <c r="A44" s="14">
        <v>43952.0</v>
      </c>
      <c r="B44" s="7" t="s">
        <v>17</v>
      </c>
      <c r="C44" s="7">
        <v>20.0</v>
      </c>
      <c r="D44" s="7">
        <v>2468.0</v>
      </c>
      <c r="E44" s="7">
        <v>2221.0</v>
      </c>
    </row>
    <row r="45" ht="14.25" customHeight="1">
      <c r="A45" s="14">
        <v>43952.0</v>
      </c>
      <c r="B45" s="7" t="s">
        <v>10</v>
      </c>
      <c r="C45" s="7">
        <v>18.0</v>
      </c>
      <c r="D45" s="7">
        <v>1826.0</v>
      </c>
      <c r="E45" s="7">
        <v>1633.0</v>
      </c>
    </row>
    <row r="46" ht="14.25" customHeight="1">
      <c r="A46" s="14">
        <v>43952.0</v>
      </c>
      <c r="B46" s="7" t="s">
        <v>20</v>
      </c>
      <c r="C46" s="7">
        <v>19.0</v>
      </c>
      <c r="D46" s="7">
        <v>1987.0</v>
      </c>
      <c r="E46" s="7">
        <v>1791.0</v>
      </c>
    </row>
    <row r="47" ht="14.25" customHeight="1">
      <c r="A47" s="14">
        <v>43952.0</v>
      </c>
      <c r="B47" s="7" t="s">
        <v>22</v>
      </c>
      <c r="C47" s="7">
        <v>54.0</v>
      </c>
      <c r="D47" s="7">
        <v>14205.0</v>
      </c>
      <c r="E47" s="7">
        <v>13026.0</v>
      </c>
    </row>
    <row r="48" ht="14.25" customHeight="1">
      <c r="A48" s="14">
        <v>43952.0</v>
      </c>
      <c r="B48" s="7" t="s">
        <v>21</v>
      </c>
      <c r="C48" s="7">
        <v>59.0</v>
      </c>
      <c r="D48" s="7">
        <v>15222.0</v>
      </c>
      <c r="E48" s="7">
        <v>13873.0</v>
      </c>
    </row>
    <row r="49" ht="14.25" customHeight="1">
      <c r="A49" s="14">
        <v>43952.0</v>
      </c>
      <c r="B49" s="7" t="s">
        <v>13</v>
      </c>
      <c r="C49" s="7">
        <v>19.0</v>
      </c>
      <c r="D49" s="7">
        <v>1497.0</v>
      </c>
      <c r="E49" s="7">
        <v>1291.0</v>
      </c>
    </row>
    <row r="50" ht="14.25" customHeight="1">
      <c r="A50" s="14">
        <v>43952.0</v>
      </c>
      <c r="B50" s="7" t="s">
        <v>23</v>
      </c>
      <c r="C50" s="7">
        <v>15.0</v>
      </c>
      <c r="D50" s="7">
        <v>721.0</v>
      </c>
      <c r="E50" s="7">
        <v>625.0</v>
      </c>
    </row>
    <row r="51" ht="14.25" customHeight="1">
      <c r="A51" s="14">
        <v>43952.0</v>
      </c>
      <c r="B51" s="7" t="s">
        <v>18</v>
      </c>
      <c r="C51" s="7">
        <v>15.0</v>
      </c>
      <c r="D51" s="7">
        <v>996.0</v>
      </c>
      <c r="E51" s="7">
        <v>888.0</v>
      </c>
    </row>
    <row r="52" ht="14.25" customHeight="1">
      <c r="A52" s="14">
        <v>43952.0</v>
      </c>
      <c r="B52" s="7" t="s">
        <v>19</v>
      </c>
      <c r="C52" s="7">
        <v>15.0</v>
      </c>
      <c r="D52" s="7">
        <v>294.0</v>
      </c>
      <c r="E52" s="7">
        <v>225.0</v>
      </c>
    </row>
    <row r="53" ht="14.25" customHeight="1">
      <c r="A53" s="14">
        <v>43952.0</v>
      </c>
      <c r="B53" s="7" t="s">
        <v>15</v>
      </c>
      <c r="C53" s="7">
        <v>125.0</v>
      </c>
      <c r="D53" s="7">
        <v>20602.0</v>
      </c>
      <c r="E53" s="7">
        <v>18845.0</v>
      </c>
    </row>
    <row r="54" ht="14.25" customHeight="1">
      <c r="A54" s="14">
        <v>43952.0</v>
      </c>
      <c r="B54" s="7" t="s">
        <v>14</v>
      </c>
      <c r="C54" s="7">
        <v>129.0</v>
      </c>
      <c r="D54" s="7">
        <v>17002.0</v>
      </c>
      <c r="E54" s="7">
        <v>15570.0</v>
      </c>
    </row>
    <row r="55" ht="14.25" customHeight="1">
      <c r="A55" s="14">
        <v>43952.0</v>
      </c>
      <c r="B55" s="7" t="s">
        <v>12</v>
      </c>
      <c r="C55" s="7">
        <v>10.0</v>
      </c>
      <c r="D55" s="7">
        <v>554.0</v>
      </c>
      <c r="E55" s="7">
        <v>472.0</v>
      </c>
    </row>
    <row r="56" ht="14.25" customHeight="1">
      <c r="A56" s="14">
        <v>43953.0</v>
      </c>
      <c r="B56" s="7" t="s">
        <v>16</v>
      </c>
      <c r="C56" s="7">
        <v>36.0</v>
      </c>
      <c r="D56" s="7">
        <v>3442.0</v>
      </c>
      <c r="E56" s="7">
        <v>3147.0</v>
      </c>
    </row>
    <row r="57" ht="14.25" customHeight="1">
      <c r="A57" s="14">
        <v>43953.0</v>
      </c>
      <c r="B57" s="7" t="s">
        <v>11</v>
      </c>
      <c r="C57" s="7">
        <v>31.0</v>
      </c>
      <c r="D57" s="7">
        <v>4157.0</v>
      </c>
      <c r="E57" s="7">
        <v>3823.0</v>
      </c>
    </row>
    <row r="58" ht="14.25" customHeight="1">
      <c r="A58" s="14">
        <v>43953.0</v>
      </c>
      <c r="B58" s="7" t="s">
        <v>17</v>
      </c>
      <c r="C58" s="7">
        <v>20.0</v>
      </c>
      <c r="D58" s="7">
        <v>1613.0</v>
      </c>
      <c r="E58" s="7">
        <v>1457.0</v>
      </c>
    </row>
    <row r="59" ht="14.25" customHeight="1">
      <c r="A59" s="14">
        <v>43953.0</v>
      </c>
      <c r="B59" s="7" t="s">
        <v>10</v>
      </c>
      <c r="C59" s="7">
        <v>18.0</v>
      </c>
      <c r="D59" s="7">
        <v>1708.0</v>
      </c>
      <c r="E59" s="7">
        <v>1534.0</v>
      </c>
    </row>
    <row r="60" ht="14.25" customHeight="1">
      <c r="A60" s="14">
        <v>43953.0</v>
      </c>
      <c r="B60" s="7" t="s">
        <v>20</v>
      </c>
      <c r="C60" s="7">
        <v>19.0</v>
      </c>
      <c r="D60" s="7">
        <v>1206.0</v>
      </c>
      <c r="E60" s="7">
        <v>1080.0</v>
      </c>
    </row>
    <row r="61" ht="14.25" customHeight="1">
      <c r="A61" s="14">
        <v>43953.0</v>
      </c>
      <c r="B61" s="7" t="s">
        <v>22</v>
      </c>
      <c r="C61" s="7">
        <v>54.0</v>
      </c>
      <c r="D61" s="7">
        <v>11622.0</v>
      </c>
      <c r="E61" s="7">
        <v>10754.0</v>
      </c>
    </row>
    <row r="62" ht="14.25" customHeight="1">
      <c r="A62" s="14">
        <v>43953.0</v>
      </c>
      <c r="B62" s="7" t="s">
        <v>21</v>
      </c>
      <c r="C62" s="7">
        <v>59.0</v>
      </c>
      <c r="D62" s="7">
        <v>12429.0</v>
      </c>
      <c r="E62" s="7">
        <v>11477.0</v>
      </c>
    </row>
    <row r="63" ht="14.25" customHeight="1">
      <c r="A63" s="14">
        <v>43953.0</v>
      </c>
      <c r="B63" s="7" t="s">
        <v>13</v>
      </c>
      <c r="C63" s="7">
        <v>19.0</v>
      </c>
      <c r="D63" s="7">
        <v>1217.0</v>
      </c>
      <c r="E63" s="7">
        <v>1048.0</v>
      </c>
    </row>
    <row r="64" ht="14.25" customHeight="1">
      <c r="A64" s="14">
        <v>43953.0</v>
      </c>
      <c r="B64" s="7" t="s">
        <v>23</v>
      </c>
      <c r="C64" s="7">
        <v>15.0</v>
      </c>
      <c r="D64" s="7">
        <v>567.0</v>
      </c>
      <c r="E64" s="7">
        <v>493.0</v>
      </c>
    </row>
    <row r="65" ht="14.25" customHeight="1">
      <c r="A65" s="14">
        <v>43953.0</v>
      </c>
      <c r="B65" s="7" t="s">
        <v>18</v>
      </c>
      <c r="C65" s="7">
        <v>15.0</v>
      </c>
      <c r="D65" s="7">
        <v>751.0</v>
      </c>
      <c r="E65" s="7">
        <v>651.0</v>
      </c>
    </row>
    <row r="66" ht="14.25" customHeight="1">
      <c r="A66" s="14">
        <v>43953.0</v>
      </c>
      <c r="B66" s="7" t="s">
        <v>19</v>
      </c>
      <c r="C66" s="7">
        <v>15.0</v>
      </c>
      <c r="D66" s="7">
        <v>274.0</v>
      </c>
      <c r="E66" s="7">
        <v>203.0</v>
      </c>
    </row>
    <row r="67" ht="14.25" customHeight="1">
      <c r="A67" s="14">
        <v>43953.0</v>
      </c>
      <c r="B67" s="7" t="s">
        <v>15</v>
      </c>
      <c r="C67" s="7">
        <v>125.0</v>
      </c>
      <c r="D67" s="7">
        <v>16932.0</v>
      </c>
      <c r="E67" s="7">
        <v>15601.0</v>
      </c>
    </row>
    <row r="68" ht="14.25" customHeight="1">
      <c r="A68" s="14">
        <v>43953.0</v>
      </c>
      <c r="B68" s="7" t="s">
        <v>14</v>
      </c>
      <c r="C68" s="7">
        <v>129.0</v>
      </c>
      <c r="D68" s="7">
        <v>14009.0</v>
      </c>
      <c r="E68" s="7">
        <v>12920.0</v>
      </c>
    </row>
    <row r="69" ht="14.25" customHeight="1">
      <c r="A69" s="14">
        <v>43953.0</v>
      </c>
      <c r="B69" s="7" t="s">
        <v>12</v>
      </c>
      <c r="C69" s="7">
        <v>10.0</v>
      </c>
      <c r="D69" s="7">
        <v>416.0</v>
      </c>
      <c r="E69" s="7">
        <v>341.0</v>
      </c>
    </row>
    <row r="70" ht="14.25" customHeight="1">
      <c r="A70" s="14">
        <v>43954.0</v>
      </c>
      <c r="B70" s="7" t="s">
        <v>16</v>
      </c>
      <c r="C70" s="7">
        <v>36.0</v>
      </c>
      <c r="D70" s="7">
        <v>4751.0</v>
      </c>
      <c r="E70" s="7">
        <v>4370.0</v>
      </c>
    </row>
    <row r="71" ht="14.25" customHeight="1">
      <c r="A71" s="14">
        <v>43954.0</v>
      </c>
      <c r="B71" s="7" t="s">
        <v>11</v>
      </c>
      <c r="C71" s="7">
        <v>31.0</v>
      </c>
      <c r="D71" s="7">
        <v>5155.0</v>
      </c>
      <c r="E71" s="7">
        <v>4762.0</v>
      </c>
    </row>
    <row r="72" ht="14.25" customHeight="1">
      <c r="A72" s="14">
        <v>43954.0</v>
      </c>
      <c r="B72" s="7" t="s">
        <v>17</v>
      </c>
      <c r="C72" s="7">
        <v>20.0</v>
      </c>
      <c r="D72" s="7">
        <v>1716.0</v>
      </c>
      <c r="E72" s="7">
        <v>1561.0</v>
      </c>
    </row>
    <row r="73" ht="14.25" customHeight="1">
      <c r="A73" s="14">
        <v>43954.0</v>
      </c>
      <c r="B73" s="7" t="s">
        <v>10</v>
      </c>
      <c r="C73" s="7">
        <v>20.0</v>
      </c>
      <c r="D73" s="7">
        <v>1520.0</v>
      </c>
      <c r="E73" s="7">
        <v>1373.0</v>
      </c>
    </row>
    <row r="74" ht="14.25" customHeight="1">
      <c r="A74" s="14">
        <v>43954.0</v>
      </c>
      <c r="B74" s="7" t="s">
        <v>20</v>
      </c>
      <c r="C74" s="7">
        <v>19.0</v>
      </c>
      <c r="D74" s="7">
        <v>1314.0</v>
      </c>
      <c r="E74" s="7">
        <v>1192.0</v>
      </c>
    </row>
    <row r="75" ht="14.25" customHeight="1">
      <c r="A75" s="14">
        <v>43954.0</v>
      </c>
      <c r="B75" s="7" t="s">
        <v>22</v>
      </c>
      <c r="C75" s="7">
        <v>54.0</v>
      </c>
      <c r="D75" s="7">
        <v>14823.0</v>
      </c>
      <c r="E75" s="7">
        <v>13751.0</v>
      </c>
    </row>
    <row r="76" ht="14.25" customHeight="1">
      <c r="A76" s="14">
        <v>43954.0</v>
      </c>
      <c r="B76" s="7" t="s">
        <v>21</v>
      </c>
      <c r="C76" s="7">
        <v>59.0</v>
      </c>
      <c r="D76" s="7">
        <v>15277.0</v>
      </c>
      <c r="E76" s="7">
        <v>14163.0</v>
      </c>
    </row>
    <row r="77" ht="14.25" customHeight="1">
      <c r="A77" s="14">
        <v>43954.0</v>
      </c>
      <c r="B77" s="7" t="s">
        <v>13</v>
      </c>
      <c r="C77" s="7">
        <v>19.0</v>
      </c>
      <c r="D77" s="7">
        <v>1402.0</v>
      </c>
      <c r="E77" s="7">
        <v>1234.0</v>
      </c>
    </row>
    <row r="78" ht="14.25" customHeight="1">
      <c r="A78" s="14">
        <v>43954.0</v>
      </c>
      <c r="B78" s="7" t="s">
        <v>23</v>
      </c>
      <c r="C78" s="7">
        <v>15.0</v>
      </c>
      <c r="D78" s="7">
        <v>585.0</v>
      </c>
      <c r="E78" s="7">
        <v>502.0</v>
      </c>
    </row>
    <row r="79" ht="14.25" customHeight="1">
      <c r="A79" s="14">
        <v>43954.0</v>
      </c>
      <c r="B79" s="7" t="s">
        <v>18</v>
      </c>
      <c r="C79" s="7">
        <v>15.0</v>
      </c>
      <c r="D79" s="7">
        <v>784.0</v>
      </c>
      <c r="E79" s="7">
        <v>696.0</v>
      </c>
    </row>
    <row r="80" ht="14.25" customHeight="1">
      <c r="A80" s="14">
        <v>43954.0</v>
      </c>
      <c r="B80" s="7" t="s">
        <v>19</v>
      </c>
      <c r="C80" s="7">
        <v>15.0</v>
      </c>
      <c r="D80" s="7">
        <v>455.0</v>
      </c>
      <c r="E80" s="7">
        <v>384.0</v>
      </c>
    </row>
    <row r="81" ht="14.25" customHeight="1">
      <c r="A81" s="14">
        <v>43954.0</v>
      </c>
      <c r="B81" s="7" t="s">
        <v>15</v>
      </c>
      <c r="C81" s="7">
        <v>125.0</v>
      </c>
      <c r="D81" s="7">
        <v>18861.0</v>
      </c>
      <c r="E81" s="7">
        <v>17420.0</v>
      </c>
    </row>
    <row r="82" ht="14.25" customHeight="1">
      <c r="A82" s="14">
        <v>43954.0</v>
      </c>
      <c r="B82" s="7" t="s">
        <v>14</v>
      </c>
      <c r="C82" s="7">
        <v>129.0</v>
      </c>
      <c r="D82" s="7">
        <v>15778.0</v>
      </c>
      <c r="E82" s="7">
        <v>14624.0</v>
      </c>
    </row>
    <row r="83" ht="14.25" customHeight="1">
      <c r="A83" s="14">
        <v>43954.0</v>
      </c>
      <c r="B83" s="7" t="s">
        <v>12</v>
      </c>
      <c r="C83" s="7">
        <v>10.0</v>
      </c>
      <c r="D83" s="7">
        <v>402.0</v>
      </c>
      <c r="E83" s="7">
        <v>333.0</v>
      </c>
    </row>
    <row r="84" ht="14.25" customHeight="1">
      <c r="A84" s="14">
        <v>43955.0</v>
      </c>
      <c r="B84" s="7" t="s">
        <v>16</v>
      </c>
      <c r="C84" s="7">
        <v>36.0</v>
      </c>
      <c r="D84" s="7">
        <v>4508.0</v>
      </c>
      <c r="E84" s="7">
        <v>4149.0</v>
      </c>
    </row>
    <row r="85" ht="14.25" customHeight="1">
      <c r="A85" s="14">
        <v>43955.0</v>
      </c>
      <c r="B85" s="7" t="s">
        <v>11</v>
      </c>
      <c r="C85" s="7">
        <v>31.0</v>
      </c>
      <c r="D85" s="7">
        <v>4968.0</v>
      </c>
      <c r="E85" s="7">
        <v>4596.0</v>
      </c>
    </row>
    <row r="86" ht="14.25" customHeight="1">
      <c r="A86" s="14">
        <v>43955.0</v>
      </c>
      <c r="B86" s="7" t="s">
        <v>17</v>
      </c>
      <c r="C86" s="7">
        <v>20.0</v>
      </c>
      <c r="D86" s="7">
        <v>1804.0</v>
      </c>
      <c r="E86" s="7">
        <v>1638.0</v>
      </c>
    </row>
    <row r="87" ht="14.25" customHeight="1">
      <c r="A87" s="14">
        <v>43955.0</v>
      </c>
      <c r="B87" s="7" t="s">
        <v>10</v>
      </c>
      <c r="C87" s="7">
        <v>20.0</v>
      </c>
      <c r="D87" s="7">
        <v>1519.0</v>
      </c>
      <c r="E87" s="7">
        <v>1372.0</v>
      </c>
    </row>
    <row r="88" ht="14.25" customHeight="1">
      <c r="A88" s="14">
        <v>43955.0</v>
      </c>
      <c r="B88" s="7" t="s">
        <v>20</v>
      </c>
      <c r="C88" s="7">
        <v>19.0</v>
      </c>
      <c r="D88" s="7">
        <v>1479.0</v>
      </c>
      <c r="E88" s="7">
        <v>1346.0</v>
      </c>
    </row>
    <row r="89" ht="14.25" customHeight="1">
      <c r="A89" s="14">
        <v>43955.0</v>
      </c>
      <c r="B89" s="7" t="s">
        <v>22</v>
      </c>
      <c r="C89" s="7">
        <v>54.0</v>
      </c>
      <c r="D89" s="7">
        <v>13606.0</v>
      </c>
      <c r="E89" s="7">
        <v>12697.0</v>
      </c>
    </row>
    <row r="90" ht="14.25" customHeight="1">
      <c r="A90" s="14">
        <v>43955.0</v>
      </c>
      <c r="B90" s="7" t="s">
        <v>21</v>
      </c>
      <c r="C90" s="7">
        <v>59.0</v>
      </c>
      <c r="D90" s="7">
        <v>14423.0</v>
      </c>
      <c r="E90" s="7">
        <v>13432.0</v>
      </c>
    </row>
    <row r="91" ht="14.25" customHeight="1">
      <c r="A91" s="14">
        <v>43955.0</v>
      </c>
      <c r="B91" s="7" t="s">
        <v>13</v>
      </c>
      <c r="C91" s="7">
        <v>19.0</v>
      </c>
      <c r="D91" s="7">
        <v>1582.0</v>
      </c>
      <c r="E91" s="7">
        <v>1403.0</v>
      </c>
    </row>
    <row r="92" ht="14.25" customHeight="1">
      <c r="A92" s="14">
        <v>43955.0</v>
      </c>
      <c r="B92" s="7" t="s">
        <v>23</v>
      </c>
      <c r="C92" s="7">
        <v>15.0</v>
      </c>
      <c r="D92" s="7">
        <v>622.0</v>
      </c>
      <c r="E92" s="7">
        <v>538.0</v>
      </c>
    </row>
    <row r="93" ht="14.25" customHeight="1">
      <c r="A93" s="14">
        <v>43955.0</v>
      </c>
      <c r="B93" s="7" t="s">
        <v>18</v>
      </c>
      <c r="C93" s="7">
        <v>15.0</v>
      </c>
      <c r="D93" s="7">
        <v>750.0</v>
      </c>
      <c r="E93" s="7">
        <v>647.0</v>
      </c>
    </row>
    <row r="94" ht="14.25" customHeight="1">
      <c r="A94" s="14">
        <v>43955.0</v>
      </c>
      <c r="B94" s="7" t="s">
        <v>19</v>
      </c>
      <c r="C94" s="7">
        <v>15.0</v>
      </c>
      <c r="D94" s="7">
        <v>390.0</v>
      </c>
      <c r="E94" s="7">
        <v>315.0</v>
      </c>
    </row>
    <row r="95" ht="14.25" customHeight="1">
      <c r="A95" s="14">
        <v>43955.0</v>
      </c>
      <c r="B95" s="7" t="s">
        <v>15</v>
      </c>
      <c r="C95" s="7">
        <v>125.0</v>
      </c>
      <c r="D95" s="7">
        <v>20495.0</v>
      </c>
      <c r="E95" s="7">
        <v>18964.0</v>
      </c>
    </row>
    <row r="96" ht="14.25" customHeight="1">
      <c r="A96" s="14">
        <v>43955.0</v>
      </c>
      <c r="B96" s="7" t="s">
        <v>14</v>
      </c>
      <c r="C96" s="7">
        <v>129.0</v>
      </c>
      <c r="D96" s="7">
        <v>16525.0</v>
      </c>
      <c r="E96" s="7">
        <v>15310.0</v>
      </c>
    </row>
    <row r="97" ht="14.25" customHeight="1">
      <c r="A97" s="14">
        <v>43955.0</v>
      </c>
      <c r="B97" s="7" t="s">
        <v>12</v>
      </c>
      <c r="C97" s="7">
        <v>10.0</v>
      </c>
      <c r="D97" s="7">
        <v>462.0</v>
      </c>
      <c r="E97" s="7">
        <v>396.0</v>
      </c>
    </row>
    <row r="98" ht="14.25" customHeight="1">
      <c r="A98" s="14">
        <v>43956.0</v>
      </c>
      <c r="B98" s="7" t="s">
        <v>16</v>
      </c>
      <c r="C98" s="7">
        <v>36.0</v>
      </c>
      <c r="D98" s="7">
        <v>4575.0</v>
      </c>
      <c r="E98" s="7">
        <v>4206.0</v>
      </c>
    </row>
    <row r="99" ht="14.25" customHeight="1">
      <c r="A99" s="14">
        <v>43956.0</v>
      </c>
      <c r="B99" s="7" t="s">
        <v>11</v>
      </c>
      <c r="C99" s="7">
        <v>31.0</v>
      </c>
      <c r="D99" s="7">
        <v>5188.0</v>
      </c>
      <c r="E99" s="7">
        <v>4800.0</v>
      </c>
    </row>
    <row r="100" ht="14.25" customHeight="1">
      <c r="A100" s="14">
        <v>43956.0</v>
      </c>
      <c r="B100" s="7" t="s">
        <v>17</v>
      </c>
      <c r="C100" s="7">
        <v>20.0</v>
      </c>
      <c r="D100" s="7">
        <v>1757.0</v>
      </c>
      <c r="E100" s="7">
        <v>1596.0</v>
      </c>
    </row>
    <row r="101" ht="14.25" customHeight="1">
      <c r="A101" s="14">
        <v>43956.0</v>
      </c>
      <c r="B101" s="7" t="s">
        <v>10</v>
      </c>
      <c r="C101" s="7">
        <v>20.0</v>
      </c>
      <c r="D101" s="7">
        <v>1773.0</v>
      </c>
      <c r="E101" s="7">
        <v>1604.0</v>
      </c>
    </row>
    <row r="102" ht="14.25" customHeight="1">
      <c r="A102" s="14">
        <v>43956.0</v>
      </c>
      <c r="B102" s="7" t="s">
        <v>20</v>
      </c>
      <c r="C102" s="7">
        <v>19.0</v>
      </c>
      <c r="D102" s="7">
        <v>1622.0</v>
      </c>
      <c r="E102" s="7">
        <v>1482.0</v>
      </c>
    </row>
    <row r="103" ht="14.25" customHeight="1">
      <c r="A103" s="14">
        <v>43956.0</v>
      </c>
      <c r="B103" s="7" t="s">
        <v>22</v>
      </c>
      <c r="C103" s="7">
        <v>54.0</v>
      </c>
      <c r="D103" s="7">
        <v>12775.0</v>
      </c>
      <c r="E103" s="7">
        <v>11887.0</v>
      </c>
    </row>
    <row r="104" ht="14.25" customHeight="1">
      <c r="A104" s="14">
        <v>43956.0</v>
      </c>
      <c r="B104" s="7" t="s">
        <v>21</v>
      </c>
      <c r="C104" s="7">
        <v>59.0</v>
      </c>
      <c r="D104" s="7">
        <v>13469.0</v>
      </c>
      <c r="E104" s="7">
        <v>12486.0</v>
      </c>
    </row>
    <row r="105" ht="14.25" customHeight="1">
      <c r="A105" s="14">
        <v>43956.0</v>
      </c>
      <c r="B105" s="7" t="s">
        <v>13</v>
      </c>
      <c r="C105" s="7">
        <v>19.0</v>
      </c>
      <c r="D105" s="7">
        <v>1417.0</v>
      </c>
      <c r="E105" s="7">
        <v>1245.0</v>
      </c>
    </row>
    <row r="106" ht="14.25" customHeight="1">
      <c r="A106" s="14">
        <v>43956.0</v>
      </c>
      <c r="B106" s="7" t="s">
        <v>23</v>
      </c>
      <c r="C106" s="7">
        <v>15.0</v>
      </c>
      <c r="D106" s="7">
        <v>750.0</v>
      </c>
      <c r="E106" s="7">
        <v>658.0</v>
      </c>
    </row>
    <row r="107" ht="14.25" customHeight="1">
      <c r="A107" s="14">
        <v>43956.0</v>
      </c>
      <c r="B107" s="7" t="s">
        <v>18</v>
      </c>
      <c r="C107" s="7">
        <v>15.0</v>
      </c>
      <c r="D107" s="7">
        <v>922.0</v>
      </c>
      <c r="E107" s="7">
        <v>823.0</v>
      </c>
    </row>
    <row r="108" ht="14.25" customHeight="1">
      <c r="A108" s="14">
        <v>43956.0</v>
      </c>
      <c r="B108" s="7" t="s">
        <v>19</v>
      </c>
      <c r="C108" s="7">
        <v>15.0</v>
      </c>
      <c r="D108" s="7">
        <v>455.0</v>
      </c>
      <c r="E108" s="7">
        <v>381.0</v>
      </c>
    </row>
    <row r="109" ht="14.25" customHeight="1">
      <c r="A109" s="14">
        <v>43956.0</v>
      </c>
      <c r="B109" s="7" t="s">
        <v>15</v>
      </c>
      <c r="C109" s="7">
        <v>125.0</v>
      </c>
      <c r="D109" s="7">
        <v>18944.0</v>
      </c>
      <c r="E109" s="7">
        <v>17541.0</v>
      </c>
    </row>
    <row r="110" ht="14.25" customHeight="1">
      <c r="A110" s="14">
        <v>43956.0</v>
      </c>
      <c r="B110" s="7" t="s">
        <v>14</v>
      </c>
      <c r="C110" s="7">
        <v>129.0</v>
      </c>
      <c r="D110" s="7">
        <v>15665.0</v>
      </c>
      <c r="E110" s="7">
        <v>14501.0</v>
      </c>
    </row>
    <row r="111" ht="14.25" customHeight="1">
      <c r="A111" s="14">
        <v>43956.0</v>
      </c>
      <c r="B111" s="7" t="s">
        <v>12</v>
      </c>
      <c r="C111" s="7">
        <v>10.0</v>
      </c>
      <c r="D111" s="7">
        <v>511.0</v>
      </c>
      <c r="E111" s="7">
        <v>437.0</v>
      </c>
    </row>
    <row r="112" ht="14.25" customHeight="1">
      <c r="A112" s="14">
        <v>43957.0</v>
      </c>
      <c r="B112" s="7" t="s">
        <v>16</v>
      </c>
      <c r="C112" s="7">
        <v>36.0</v>
      </c>
      <c r="D112" s="7">
        <v>4384.0</v>
      </c>
      <c r="E112" s="7">
        <v>4025.0</v>
      </c>
    </row>
    <row r="113" ht="14.25" customHeight="1">
      <c r="A113" s="14">
        <v>43957.0</v>
      </c>
      <c r="B113" s="7" t="s">
        <v>11</v>
      </c>
      <c r="C113" s="7">
        <v>31.0</v>
      </c>
      <c r="D113" s="7">
        <v>4709.0</v>
      </c>
      <c r="E113" s="7">
        <v>4348.0</v>
      </c>
    </row>
    <row r="114" ht="14.25" customHeight="1">
      <c r="A114" s="14">
        <v>43957.0</v>
      </c>
      <c r="B114" s="7" t="s">
        <v>17</v>
      </c>
      <c r="C114" s="7">
        <v>20.0</v>
      </c>
      <c r="D114" s="7">
        <v>1747.0</v>
      </c>
      <c r="E114" s="7">
        <v>1570.0</v>
      </c>
    </row>
    <row r="115" ht="14.25" customHeight="1">
      <c r="A115" s="14">
        <v>43957.0</v>
      </c>
      <c r="B115" s="7" t="s">
        <v>10</v>
      </c>
      <c r="C115" s="7">
        <v>20.0</v>
      </c>
      <c r="D115" s="7">
        <v>1784.0</v>
      </c>
      <c r="E115" s="7">
        <v>1632.0</v>
      </c>
    </row>
    <row r="116" ht="14.25" customHeight="1">
      <c r="A116" s="14">
        <v>43957.0</v>
      </c>
      <c r="B116" s="7" t="s">
        <v>20</v>
      </c>
      <c r="C116" s="7">
        <v>19.0</v>
      </c>
      <c r="D116" s="7">
        <v>1509.0</v>
      </c>
      <c r="E116" s="7">
        <v>1374.0</v>
      </c>
    </row>
    <row r="117" ht="14.25" customHeight="1">
      <c r="A117" s="14">
        <v>43957.0</v>
      </c>
      <c r="B117" s="7" t="s">
        <v>22</v>
      </c>
      <c r="C117" s="7">
        <v>54.0</v>
      </c>
      <c r="D117" s="7">
        <v>13406.0</v>
      </c>
      <c r="E117" s="7">
        <v>12518.0</v>
      </c>
    </row>
    <row r="118" ht="14.25" customHeight="1">
      <c r="A118" s="14">
        <v>43957.0</v>
      </c>
      <c r="B118" s="7" t="s">
        <v>21</v>
      </c>
      <c r="C118" s="7">
        <v>59.0</v>
      </c>
      <c r="D118" s="7">
        <v>14103.0</v>
      </c>
      <c r="E118" s="7">
        <v>13118.0</v>
      </c>
    </row>
    <row r="119" ht="14.25" customHeight="1">
      <c r="A119" s="14">
        <v>43957.0</v>
      </c>
      <c r="B119" s="7" t="s">
        <v>13</v>
      </c>
      <c r="C119" s="7">
        <v>19.0</v>
      </c>
      <c r="D119" s="7">
        <v>1499.0</v>
      </c>
      <c r="E119" s="7">
        <v>1323.0</v>
      </c>
    </row>
    <row r="120" ht="14.25" customHeight="1">
      <c r="A120" s="14">
        <v>43957.0</v>
      </c>
      <c r="B120" s="7" t="s">
        <v>23</v>
      </c>
      <c r="C120" s="7">
        <v>15.0</v>
      </c>
      <c r="D120" s="7">
        <v>701.0</v>
      </c>
      <c r="E120" s="7">
        <v>611.0</v>
      </c>
    </row>
    <row r="121" ht="14.25" customHeight="1">
      <c r="A121" s="14">
        <v>43957.0</v>
      </c>
      <c r="B121" s="7" t="s">
        <v>18</v>
      </c>
      <c r="C121" s="7">
        <v>15.0</v>
      </c>
      <c r="D121" s="7">
        <v>839.0</v>
      </c>
      <c r="E121" s="7">
        <v>733.0</v>
      </c>
    </row>
    <row r="122" ht="14.25" customHeight="1">
      <c r="A122" s="14">
        <v>43957.0</v>
      </c>
      <c r="B122" s="7" t="s">
        <v>19</v>
      </c>
      <c r="C122" s="7">
        <v>15.0</v>
      </c>
      <c r="D122" s="7">
        <v>467.0</v>
      </c>
      <c r="E122" s="7">
        <v>389.0</v>
      </c>
    </row>
    <row r="123" ht="14.25" customHeight="1">
      <c r="A123" s="14">
        <v>43957.0</v>
      </c>
      <c r="B123" s="7" t="s">
        <v>15</v>
      </c>
      <c r="C123" s="7">
        <v>125.0</v>
      </c>
      <c r="D123" s="7">
        <v>20218.0</v>
      </c>
      <c r="E123" s="7">
        <v>18647.0</v>
      </c>
    </row>
    <row r="124" ht="14.25" customHeight="1">
      <c r="A124" s="14">
        <v>43957.0</v>
      </c>
      <c r="B124" s="7" t="s">
        <v>14</v>
      </c>
      <c r="C124" s="7">
        <v>129.0</v>
      </c>
      <c r="D124" s="7">
        <v>16376.0</v>
      </c>
      <c r="E124" s="7">
        <v>15197.0</v>
      </c>
    </row>
    <row r="125" ht="14.25" customHeight="1">
      <c r="A125" s="14">
        <v>43957.0</v>
      </c>
      <c r="B125" s="7" t="s">
        <v>12</v>
      </c>
      <c r="C125" s="7">
        <v>10.0</v>
      </c>
      <c r="D125" s="7">
        <v>465.0</v>
      </c>
      <c r="E125" s="7">
        <v>390.0</v>
      </c>
    </row>
    <row r="126" ht="14.25" customHeight="1">
      <c r="A126" s="14">
        <v>43958.0</v>
      </c>
      <c r="B126" s="7" t="s">
        <v>16</v>
      </c>
      <c r="C126" s="7">
        <v>36.0</v>
      </c>
      <c r="D126" s="7">
        <v>4826.0</v>
      </c>
      <c r="E126" s="7">
        <v>4426.0</v>
      </c>
    </row>
    <row r="127" ht="14.25" customHeight="1">
      <c r="A127" s="14">
        <v>43958.0</v>
      </c>
      <c r="B127" s="7" t="s">
        <v>11</v>
      </c>
      <c r="C127" s="7">
        <v>31.0</v>
      </c>
      <c r="D127" s="7">
        <v>4903.0</v>
      </c>
      <c r="E127" s="7">
        <v>4527.0</v>
      </c>
    </row>
    <row r="128" ht="14.25" customHeight="1">
      <c r="A128" s="14">
        <v>43958.0</v>
      </c>
      <c r="B128" s="7" t="s">
        <v>17</v>
      </c>
      <c r="C128" s="7">
        <v>21.0</v>
      </c>
      <c r="D128" s="7">
        <v>1879.0</v>
      </c>
      <c r="E128" s="7">
        <v>1695.0</v>
      </c>
    </row>
    <row r="129" ht="14.25" customHeight="1">
      <c r="A129" s="14">
        <v>43958.0</v>
      </c>
      <c r="B129" s="7" t="s">
        <v>10</v>
      </c>
      <c r="C129" s="7">
        <v>21.0</v>
      </c>
      <c r="D129" s="7">
        <v>1542.0</v>
      </c>
      <c r="E129" s="7">
        <v>1405.0</v>
      </c>
    </row>
    <row r="130" ht="14.25" customHeight="1">
      <c r="A130" s="14">
        <v>43958.0</v>
      </c>
      <c r="B130" s="7" t="s">
        <v>20</v>
      </c>
      <c r="C130" s="7">
        <v>19.0</v>
      </c>
      <c r="D130" s="7">
        <v>1580.0</v>
      </c>
      <c r="E130" s="7">
        <v>1435.0</v>
      </c>
    </row>
    <row r="131" ht="14.25" customHeight="1">
      <c r="A131" s="14">
        <v>43958.0</v>
      </c>
      <c r="B131" s="7" t="s">
        <v>22</v>
      </c>
      <c r="C131" s="7">
        <v>54.0</v>
      </c>
      <c r="D131" s="7">
        <v>12743.0</v>
      </c>
      <c r="E131" s="7">
        <v>11858.0</v>
      </c>
    </row>
    <row r="132" ht="14.25" customHeight="1">
      <c r="A132" s="14">
        <v>43958.0</v>
      </c>
      <c r="B132" s="7" t="s">
        <v>21</v>
      </c>
      <c r="C132" s="7">
        <v>59.0</v>
      </c>
      <c r="D132" s="7">
        <v>13495.0</v>
      </c>
      <c r="E132" s="7">
        <v>12517.0</v>
      </c>
    </row>
    <row r="133" ht="14.25" customHeight="1">
      <c r="A133" s="14">
        <v>43958.0</v>
      </c>
      <c r="B133" s="7" t="s">
        <v>13</v>
      </c>
      <c r="C133" s="7">
        <v>19.0</v>
      </c>
      <c r="D133" s="7">
        <v>1530.0</v>
      </c>
      <c r="E133" s="7">
        <v>1338.0</v>
      </c>
    </row>
    <row r="134" ht="14.25" customHeight="1">
      <c r="A134" s="14">
        <v>43958.0</v>
      </c>
      <c r="B134" s="7" t="s">
        <v>23</v>
      </c>
      <c r="C134" s="7">
        <v>15.0</v>
      </c>
      <c r="D134" s="7">
        <v>676.0</v>
      </c>
      <c r="E134" s="7">
        <v>591.0</v>
      </c>
    </row>
    <row r="135" ht="14.25" customHeight="1">
      <c r="A135" s="14">
        <v>43958.0</v>
      </c>
      <c r="B135" s="7" t="s">
        <v>18</v>
      </c>
      <c r="C135" s="7">
        <v>15.0</v>
      </c>
      <c r="D135" s="7">
        <v>805.0</v>
      </c>
      <c r="E135" s="7">
        <v>703.0</v>
      </c>
    </row>
    <row r="136" ht="14.25" customHeight="1">
      <c r="A136" s="14">
        <v>43958.0</v>
      </c>
      <c r="B136" s="7" t="s">
        <v>19</v>
      </c>
      <c r="C136" s="7">
        <v>15.0</v>
      </c>
      <c r="D136" s="7">
        <v>480.0</v>
      </c>
      <c r="E136" s="7">
        <v>398.0</v>
      </c>
    </row>
    <row r="137" ht="14.25" customHeight="1">
      <c r="A137" s="14">
        <v>43958.0</v>
      </c>
      <c r="B137" s="7" t="s">
        <v>15</v>
      </c>
      <c r="C137" s="7">
        <v>125.0</v>
      </c>
      <c r="D137" s="7">
        <v>18014.0</v>
      </c>
      <c r="E137" s="7">
        <v>16675.0</v>
      </c>
    </row>
    <row r="138" ht="14.25" customHeight="1">
      <c r="A138" s="14">
        <v>43958.0</v>
      </c>
      <c r="B138" s="7" t="s">
        <v>14</v>
      </c>
      <c r="C138" s="7">
        <v>129.0</v>
      </c>
      <c r="D138" s="7">
        <v>14582.0</v>
      </c>
      <c r="E138" s="7">
        <v>13512.0</v>
      </c>
    </row>
    <row r="139" ht="14.25" customHeight="1">
      <c r="A139" s="14">
        <v>43958.0</v>
      </c>
      <c r="B139" s="7" t="s">
        <v>12</v>
      </c>
      <c r="C139" s="7">
        <v>10.0</v>
      </c>
      <c r="D139" s="7">
        <v>563.0</v>
      </c>
      <c r="E139" s="7">
        <v>486.0</v>
      </c>
    </row>
    <row r="140" ht="14.25" customHeight="1">
      <c r="A140" s="14">
        <v>43959.0</v>
      </c>
      <c r="B140" s="7" t="s">
        <v>16</v>
      </c>
      <c r="C140" s="7">
        <v>36.0</v>
      </c>
      <c r="D140" s="7">
        <v>4199.0</v>
      </c>
      <c r="E140" s="7">
        <v>3867.0</v>
      </c>
    </row>
    <row r="141" ht="14.25" customHeight="1">
      <c r="A141" s="14">
        <v>43959.0</v>
      </c>
      <c r="B141" s="7" t="s">
        <v>11</v>
      </c>
      <c r="C141" s="7">
        <v>31.0</v>
      </c>
      <c r="D141" s="7">
        <v>4635.0</v>
      </c>
      <c r="E141" s="7">
        <v>4266.0</v>
      </c>
    </row>
    <row r="142" ht="14.25" customHeight="1">
      <c r="A142" s="14">
        <v>43959.0</v>
      </c>
      <c r="B142" s="7" t="s">
        <v>17</v>
      </c>
      <c r="C142" s="7">
        <v>21.0</v>
      </c>
      <c r="D142" s="7">
        <v>1957.0</v>
      </c>
      <c r="E142" s="7">
        <v>1755.0</v>
      </c>
    </row>
    <row r="143" ht="14.25" customHeight="1">
      <c r="A143" s="14">
        <v>43959.0</v>
      </c>
      <c r="B143" s="7" t="s">
        <v>10</v>
      </c>
      <c r="C143" s="7">
        <v>21.0</v>
      </c>
      <c r="D143" s="7">
        <v>1646.0</v>
      </c>
      <c r="E143" s="7">
        <v>1492.0</v>
      </c>
    </row>
    <row r="144" ht="14.25" customHeight="1">
      <c r="A144" s="14">
        <v>43959.0</v>
      </c>
      <c r="B144" s="7" t="s">
        <v>20</v>
      </c>
      <c r="C144" s="7">
        <v>19.0</v>
      </c>
      <c r="D144" s="7">
        <v>1520.0</v>
      </c>
      <c r="E144" s="7">
        <v>1380.0</v>
      </c>
    </row>
    <row r="145" ht="14.25" customHeight="1">
      <c r="A145" s="14">
        <v>43959.0</v>
      </c>
      <c r="B145" s="7" t="s">
        <v>22</v>
      </c>
      <c r="C145" s="7">
        <v>54.0</v>
      </c>
      <c r="D145" s="7">
        <v>13563.0</v>
      </c>
      <c r="E145" s="7">
        <v>12604.0</v>
      </c>
    </row>
    <row r="146" ht="14.25" customHeight="1">
      <c r="A146" s="14">
        <v>43959.0</v>
      </c>
      <c r="B146" s="7" t="s">
        <v>21</v>
      </c>
      <c r="C146" s="7">
        <v>59.0</v>
      </c>
      <c r="D146" s="7">
        <v>14098.0</v>
      </c>
      <c r="E146" s="7">
        <v>13106.0</v>
      </c>
    </row>
    <row r="147" ht="14.25" customHeight="1">
      <c r="A147" s="14">
        <v>43959.0</v>
      </c>
      <c r="B147" s="7" t="s">
        <v>13</v>
      </c>
      <c r="C147" s="7">
        <v>19.0</v>
      </c>
      <c r="D147" s="7">
        <v>1522.0</v>
      </c>
      <c r="E147" s="7">
        <v>1340.0</v>
      </c>
    </row>
    <row r="148" ht="14.25" customHeight="1">
      <c r="A148" s="14">
        <v>43959.0</v>
      </c>
      <c r="B148" s="7" t="s">
        <v>23</v>
      </c>
      <c r="C148" s="7">
        <v>15.0</v>
      </c>
      <c r="D148" s="7">
        <v>703.0</v>
      </c>
      <c r="E148" s="7">
        <v>609.0</v>
      </c>
    </row>
    <row r="149" ht="14.25" customHeight="1">
      <c r="A149" s="14">
        <v>43959.0</v>
      </c>
      <c r="B149" s="7" t="s">
        <v>18</v>
      </c>
      <c r="C149" s="7">
        <v>15.0</v>
      </c>
      <c r="D149" s="7">
        <v>879.0</v>
      </c>
      <c r="E149" s="7">
        <v>768.0</v>
      </c>
    </row>
    <row r="150" ht="14.25" customHeight="1">
      <c r="A150" s="14">
        <v>43959.0</v>
      </c>
      <c r="B150" s="7" t="s">
        <v>19</v>
      </c>
      <c r="C150" s="7">
        <v>15.0</v>
      </c>
      <c r="D150" s="7">
        <v>492.0</v>
      </c>
      <c r="E150" s="7">
        <v>412.0</v>
      </c>
    </row>
    <row r="151" ht="14.25" customHeight="1">
      <c r="A151" s="14">
        <v>43959.0</v>
      </c>
      <c r="B151" s="7" t="s">
        <v>15</v>
      </c>
      <c r="C151" s="7">
        <v>125.0</v>
      </c>
      <c r="D151" s="7">
        <v>24620.0</v>
      </c>
      <c r="E151" s="7">
        <v>22641.0</v>
      </c>
    </row>
    <row r="152" ht="14.25" customHeight="1">
      <c r="A152" s="14">
        <v>43959.0</v>
      </c>
      <c r="B152" s="7" t="s">
        <v>14</v>
      </c>
      <c r="C152" s="7">
        <v>129.0</v>
      </c>
      <c r="D152" s="7">
        <v>20452.0</v>
      </c>
      <c r="E152" s="7">
        <v>18857.0</v>
      </c>
    </row>
    <row r="153" ht="14.25" customHeight="1">
      <c r="A153" s="14">
        <v>43959.0</v>
      </c>
      <c r="B153" s="7" t="s">
        <v>12</v>
      </c>
      <c r="C153" s="7">
        <v>10.0</v>
      </c>
      <c r="D153" s="7">
        <v>638.0</v>
      </c>
      <c r="E153" s="7">
        <v>547.0</v>
      </c>
    </row>
    <row r="154" ht="14.25" customHeight="1">
      <c r="A154" s="14">
        <v>43960.0</v>
      </c>
      <c r="B154" s="7" t="s">
        <v>16</v>
      </c>
      <c r="C154" s="7">
        <v>36.0</v>
      </c>
      <c r="D154" s="7">
        <v>5413.0</v>
      </c>
      <c r="E154" s="7">
        <v>4959.0</v>
      </c>
    </row>
    <row r="155" ht="14.25" customHeight="1">
      <c r="A155" s="14">
        <v>43960.0</v>
      </c>
      <c r="B155" s="7" t="s">
        <v>11</v>
      </c>
      <c r="C155" s="7">
        <v>31.0</v>
      </c>
      <c r="D155" s="7">
        <v>4556.0</v>
      </c>
      <c r="E155" s="7">
        <v>4220.0</v>
      </c>
    </row>
    <row r="156" ht="14.25" customHeight="1">
      <c r="A156" s="14">
        <v>43960.0</v>
      </c>
      <c r="B156" s="7" t="s">
        <v>17</v>
      </c>
      <c r="C156" s="7">
        <v>21.0</v>
      </c>
      <c r="D156" s="7">
        <v>1891.0</v>
      </c>
      <c r="E156" s="7">
        <v>1709.0</v>
      </c>
    </row>
    <row r="157" ht="14.25" customHeight="1">
      <c r="A157" s="14">
        <v>43960.0</v>
      </c>
      <c r="B157" s="7" t="s">
        <v>10</v>
      </c>
      <c r="C157" s="7">
        <v>21.0</v>
      </c>
      <c r="D157" s="7">
        <v>1735.0</v>
      </c>
      <c r="E157" s="7">
        <v>1568.0</v>
      </c>
    </row>
    <row r="158" ht="14.25" customHeight="1">
      <c r="A158" s="14">
        <v>43960.0</v>
      </c>
      <c r="B158" s="7" t="s">
        <v>20</v>
      </c>
      <c r="C158" s="7">
        <v>19.0</v>
      </c>
      <c r="D158" s="7">
        <v>1542.0</v>
      </c>
      <c r="E158" s="7">
        <v>1412.0</v>
      </c>
    </row>
    <row r="159" ht="14.25" customHeight="1">
      <c r="A159" s="14">
        <v>43960.0</v>
      </c>
      <c r="B159" s="7" t="s">
        <v>22</v>
      </c>
      <c r="C159" s="7">
        <v>54.0</v>
      </c>
      <c r="D159" s="7">
        <v>11288.0</v>
      </c>
      <c r="E159" s="7">
        <v>10492.0</v>
      </c>
    </row>
    <row r="160" ht="14.25" customHeight="1">
      <c r="A160" s="14">
        <v>43960.0</v>
      </c>
      <c r="B160" s="7" t="s">
        <v>21</v>
      </c>
      <c r="C160" s="7">
        <v>59.0</v>
      </c>
      <c r="D160" s="7">
        <v>12016.0</v>
      </c>
      <c r="E160" s="7">
        <v>11137.0</v>
      </c>
    </row>
    <row r="161" ht="14.25" customHeight="1">
      <c r="A161" s="14">
        <v>43960.0</v>
      </c>
      <c r="B161" s="7" t="s">
        <v>13</v>
      </c>
      <c r="C161" s="7">
        <v>19.0</v>
      </c>
      <c r="D161" s="7">
        <v>1851.0</v>
      </c>
      <c r="E161" s="7">
        <v>1635.0</v>
      </c>
    </row>
    <row r="162" ht="14.25" customHeight="1">
      <c r="A162" s="14">
        <v>43960.0</v>
      </c>
      <c r="B162" s="7" t="s">
        <v>23</v>
      </c>
      <c r="C162" s="7">
        <v>15.0</v>
      </c>
      <c r="D162" s="7">
        <v>654.0</v>
      </c>
      <c r="E162" s="7">
        <v>570.0</v>
      </c>
    </row>
    <row r="163" ht="14.25" customHeight="1">
      <c r="A163" s="14">
        <v>43960.0</v>
      </c>
      <c r="B163" s="7" t="s">
        <v>18</v>
      </c>
      <c r="C163" s="7">
        <v>15.0</v>
      </c>
      <c r="D163" s="7">
        <v>849.0</v>
      </c>
      <c r="E163" s="7">
        <v>740.0</v>
      </c>
    </row>
    <row r="164" ht="14.25" customHeight="1">
      <c r="A164" s="14">
        <v>43960.0</v>
      </c>
      <c r="B164" s="7" t="s">
        <v>19</v>
      </c>
      <c r="C164" s="7">
        <v>15.0</v>
      </c>
      <c r="D164" s="7">
        <v>623.0</v>
      </c>
      <c r="E164" s="7">
        <v>535.0</v>
      </c>
    </row>
    <row r="165" ht="14.25" customHeight="1">
      <c r="A165" s="14">
        <v>43960.0</v>
      </c>
      <c r="B165" s="7" t="s">
        <v>15</v>
      </c>
      <c r="C165" s="7">
        <v>125.0</v>
      </c>
      <c r="D165" s="7">
        <v>20132.0</v>
      </c>
      <c r="E165" s="7">
        <v>18617.0</v>
      </c>
    </row>
    <row r="166" ht="14.25" customHeight="1">
      <c r="A166" s="14">
        <v>43960.0</v>
      </c>
      <c r="B166" s="7" t="s">
        <v>14</v>
      </c>
      <c r="C166" s="7">
        <v>129.0</v>
      </c>
      <c r="D166" s="7">
        <v>16420.0</v>
      </c>
      <c r="E166" s="7">
        <v>15169.0</v>
      </c>
    </row>
    <row r="167" ht="14.25" customHeight="1">
      <c r="A167" s="14">
        <v>43960.0</v>
      </c>
      <c r="B167" s="7" t="s">
        <v>12</v>
      </c>
      <c r="C167" s="7">
        <v>10.0</v>
      </c>
      <c r="D167" s="7">
        <v>644.0</v>
      </c>
      <c r="E167" s="7">
        <v>559.0</v>
      </c>
    </row>
    <row r="168" ht="14.25" customHeight="1">
      <c r="A168" s="14">
        <v>43961.0</v>
      </c>
      <c r="B168" s="7" t="s">
        <v>16</v>
      </c>
      <c r="C168" s="7">
        <v>36.0</v>
      </c>
      <c r="D168" s="7">
        <v>5746.0</v>
      </c>
      <c r="E168" s="7">
        <v>5277.0</v>
      </c>
    </row>
    <row r="169" ht="14.25" customHeight="1">
      <c r="A169" s="14">
        <v>43961.0</v>
      </c>
      <c r="B169" s="7" t="s">
        <v>11</v>
      </c>
      <c r="C169" s="7">
        <v>31.0</v>
      </c>
      <c r="D169" s="7">
        <v>5495.0</v>
      </c>
      <c r="E169" s="7">
        <v>5093.0</v>
      </c>
    </row>
    <row r="170" ht="14.25" customHeight="1">
      <c r="A170" s="14">
        <v>43961.0</v>
      </c>
      <c r="B170" s="7" t="s">
        <v>17</v>
      </c>
      <c r="C170" s="7">
        <v>21.0</v>
      </c>
      <c r="D170" s="7">
        <v>2120.0</v>
      </c>
      <c r="E170" s="7">
        <v>1921.0</v>
      </c>
    </row>
    <row r="171" ht="14.25" customHeight="1">
      <c r="A171" s="14">
        <v>43961.0</v>
      </c>
      <c r="B171" s="7" t="s">
        <v>10</v>
      </c>
      <c r="C171" s="7">
        <v>21.0</v>
      </c>
      <c r="D171" s="7">
        <v>2016.0</v>
      </c>
      <c r="E171" s="7">
        <v>1846.0</v>
      </c>
    </row>
    <row r="172" ht="14.25" customHeight="1">
      <c r="A172" s="14">
        <v>43961.0</v>
      </c>
      <c r="B172" s="7" t="s">
        <v>20</v>
      </c>
      <c r="C172" s="7">
        <v>19.0</v>
      </c>
      <c r="D172" s="7">
        <v>1836.0</v>
      </c>
      <c r="E172" s="7">
        <v>1680.0</v>
      </c>
    </row>
    <row r="173" ht="14.25" customHeight="1">
      <c r="A173" s="14">
        <v>43961.0</v>
      </c>
      <c r="B173" s="7" t="s">
        <v>22</v>
      </c>
      <c r="C173" s="7">
        <v>54.0</v>
      </c>
      <c r="D173" s="7">
        <v>13832.0</v>
      </c>
      <c r="E173" s="7">
        <v>12864.0</v>
      </c>
    </row>
    <row r="174" ht="14.25" customHeight="1">
      <c r="A174" s="14">
        <v>43961.0</v>
      </c>
      <c r="B174" s="7" t="s">
        <v>21</v>
      </c>
      <c r="C174" s="7">
        <v>59.0</v>
      </c>
      <c r="D174" s="7">
        <v>14569.0</v>
      </c>
      <c r="E174" s="7">
        <v>13566.0</v>
      </c>
    </row>
    <row r="175" ht="14.25" customHeight="1">
      <c r="A175" s="14">
        <v>43961.0</v>
      </c>
      <c r="B175" s="7" t="s">
        <v>13</v>
      </c>
      <c r="C175" s="7">
        <v>19.0</v>
      </c>
      <c r="D175" s="7">
        <v>1848.0</v>
      </c>
      <c r="E175" s="7">
        <v>1649.0</v>
      </c>
    </row>
    <row r="176" ht="14.25" customHeight="1">
      <c r="A176" s="14">
        <v>43961.0</v>
      </c>
      <c r="B176" s="7" t="s">
        <v>23</v>
      </c>
      <c r="C176" s="7">
        <v>15.0</v>
      </c>
      <c r="D176" s="7">
        <v>792.0</v>
      </c>
      <c r="E176" s="7">
        <v>695.0</v>
      </c>
    </row>
    <row r="177" ht="14.25" customHeight="1">
      <c r="A177" s="14">
        <v>43961.0</v>
      </c>
      <c r="B177" s="7" t="s">
        <v>18</v>
      </c>
      <c r="C177" s="7">
        <v>15.0</v>
      </c>
      <c r="D177" s="7">
        <v>950.0</v>
      </c>
      <c r="E177" s="7">
        <v>848.0</v>
      </c>
    </row>
    <row r="178" ht="14.25" customHeight="1">
      <c r="A178" s="14">
        <v>43961.0</v>
      </c>
      <c r="B178" s="7" t="s">
        <v>19</v>
      </c>
      <c r="C178" s="7">
        <v>15.0</v>
      </c>
      <c r="D178" s="7">
        <v>706.0</v>
      </c>
      <c r="E178" s="7">
        <v>608.0</v>
      </c>
    </row>
    <row r="179" ht="14.25" customHeight="1">
      <c r="A179" s="14">
        <v>43961.0</v>
      </c>
      <c r="B179" s="7" t="s">
        <v>15</v>
      </c>
      <c r="C179" s="7">
        <v>125.0</v>
      </c>
      <c r="D179" s="7">
        <v>20368.0</v>
      </c>
      <c r="E179" s="7">
        <v>18884.0</v>
      </c>
    </row>
    <row r="180" ht="14.25" customHeight="1">
      <c r="A180" s="14">
        <v>43961.0</v>
      </c>
      <c r="B180" s="7" t="s">
        <v>14</v>
      </c>
      <c r="C180" s="7">
        <v>129.0</v>
      </c>
      <c r="D180" s="7">
        <v>16437.0</v>
      </c>
      <c r="E180" s="7">
        <v>15285.0</v>
      </c>
    </row>
    <row r="181" ht="14.25" customHeight="1">
      <c r="A181" s="14">
        <v>43961.0</v>
      </c>
      <c r="B181" s="7" t="s">
        <v>12</v>
      </c>
      <c r="C181" s="7">
        <v>10.0</v>
      </c>
      <c r="D181" s="7">
        <v>642.0</v>
      </c>
      <c r="E181" s="7">
        <v>556.0</v>
      </c>
    </row>
    <row r="182" ht="14.25" customHeight="1">
      <c r="A182" s="14">
        <v>43962.0</v>
      </c>
      <c r="B182" s="7" t="s">
        <v>16</v>
      </c>
      <c r="C182" s="7">
        <v>36.0</v>
      </c>
      <c r="D182" s="7">
        <v>4150.0</v>
      </c>
      <c r="E182" s="7">
        <v>3838.0</v>
      </c>
    </row>
    <row r="183" ht="14.25" customHeight="1">
      <c r="A183" s="14">
        <v>43962.0</v>
      </c>
      <c r="B183" s="7" t="s">
        <v>11</v>
      </c>
      <c r="C183" s="7">
        <v>31.0</v>
      </c>
      <c r="D183" s="7">
        <v>4826.0</v>
      </c>
      <c r="E183" s="7">
        <v>4483.0</v>
      </c>
    </row>
    <row r="184" ht="14.25" customHeight="1">
      <c r="A184" s="14">
        <v>43962.0</v>
      </c>
      <c r="B184" s="7" t="s">
        <v>17</v>
      </c>
      <c r="C184" s="7">
        <v>21.0</v>
      </c>
      <c r="D184" s="7">
        <v>1916.0</v>
      </c>
      <c r="E184" s="7">
        <v>1733.0</v>
      </c>
    </row>
    <row r="185" ht="14.25" customHeight="1">
      <c r="A185" s="14">
        <v>43962.0</v>
      </c>
      <c r="B185" s="7" t="s">
        <v>10</v>
      </c>
      <c r="C185" s="7">
        <v>21.0</v>
      </c>
      <c r="D185" s="7">
        <v>1597.0</v>
      </c>
      <c r="E185" s="7">
        <v>1457.0</v>
      </c>
    </row>
    <row r="186" ht="14.25" customHeight="1">
      <c r="A186" s="14">
        <v>43962.0</v>
      </c>
      <c r="B186" s="7" t="s">
        <v>20</v>
      </c>
      <c r="C186" s="7">
        <v>19.0</v>
      </c>
      <c r="D186" s="7">
        <v>1527.0</v>
      </c>
      <c r="E186" s="7">
        <v>1389.0</v>
      </c>
    </row>
    <row r="187" ht="14.25" customHeight="1">
      <c r="A187" s="14">
        <v>43962.0</v>
      </c>
      <c r="B187" s="7" t="s">
        <v>22</v>
      </c>
      <c r="C187" s="7">
        <v>54.0</v>
      </c>
      <c r="D187" s="7">
        <v>10570.0</v>
      </c>
      <c r="E187" s="7">
        <v>9926.0</v>
      </c>
    </row>
    <row r="188" ht="14.25" customHeight="1">
      <c r="A188" s="14">
        <v>43962.0</v>
      </c>
      <c r="B188" s="7" t="s">
        <v>21</v>
      </c>
      <c r="C188" s="7">
        <v>60.0</v>
      </c>
      <c r="D188" s="7">
        <v>11100.0</v>
      </c>
      <c r="E188" s="7">
        <v>10407.0</v>
      </c>
    </row>
    <row r="189" ht="14.25" customHeight="1">
      <c r="A189" s="14">
        <v>43962.0</v>
      </c>
      <c r="B189" s="7" t="s">
        <v>13</v>
      </c>
      <c r="C189" s="7">
        <v>19.0</v>
      </c>
      <c r="D189" s="7">
        <v>2530.0</v>
      </c>
      <c r="E189" s="7">
        <v>2270.0</v>
      </c>
    </row>
    <row r="190" ht="14.25" customHeight="1">
      <c r="A190" s="14">
        <v>43962.0</v>
      </c>
      <c r="B190" s="7" t="s">
        <v>23</v>
      </c>
      <c r="C190" s="7">
        <v>15.0</v>
      </c>
      <c r="D190" s="7">
        <v>654.0</v>
      </c>
      <c r="E190" s="7">
        <v>564.0</v>
      </c>
    </row>
    <row r="191" ht="14.25" customHeight="1">
      <c r="A191" s="14">
        <v>43962.0</v>
      </c>
      <c r="B191" s="7" t="s">
        <v>18</v>
      </c>
      <c r="C191" s="7">
        <v>15.0</v>
      </c>
      <c r="D191" s="7">
        <v>812.0</v>
      </c>
      <c r="E191" s="7">
        <v>714.0</v>
      </c>
    </row>
    <row r="192" ht="14.25" customHeight="1">
      <c r="A192" s="14">
        <v>43962.0</v>
      </c>
      <c r="B192" s="7" t="s">
        <v>19</v>
      </c>
      <c r="C192" s="7">
        <v>15.0</v>
      </c>
      <c r="D192" s="7">
        <v>684.0</v>
      </c>
      <c r="E192" s="7">
        <v>585.0</v>
      </c>
    </row>
    <row r="193" ht="14.25" customHeight="1">
      <c r="A193" s="14">
        <v>43962.0</v>
      </c>
      <c r="B193" s="7" t="s">
        <v>15</v>
      </c>
      <c r="C193" s="7">
        <v>125.0</v>
      </c>
      <c r="D193" s="7">
        <v>18066.0</v>
      </c>
      <c r="E193" s="7">
        <v>16883.0</v>
      </c>
    </row>
    <row r="194" ht="14.25" customHeight="1">
      <c r="A194" s="14">
        <v>43962.0</v>
      </c>
      <c r="B194" s="7" t="s">
        <v>14</v>
      </c>
      <c r="C194" s="7">
        <v>129.0</v>
      </c>
      <c r="D194" s="7">
        <v>14043.0</v>
      </c>
      <c r="E194" s="7">
        <v>13167.0</v>
      </c>
    </row>
    <row r="195" ht="14.25" customHeight="1">
      <c r="A195" s="14">
        <v>43962.0</v>
      </c>
      <c r="B195" s="7" t="s">
        <v>12</v>
      </c>
      <c r="C195" s="7">
        <v>10.0</v>
      </c>
      <c r="D195" s="7">
        <v>494.0</v>
      </c>
      <c r="E195" s="7">
        <v>421.0</v>
      </c>
    </row>
    <row r="196" ht="14.25" customHeight="1">
      <c r="A196" s="14">
        <v>43963.0</v>
      </c>
      <c r="B196" s="7" t="s">
        <v>16</v>
      </c>
      <c r="C196" s="7">
        <v>36.0</v>
      </c>
      <c r="D196" s="7">
        <v>4418.0</v>
      </c>
      <c r="E196" s="7">
        <v>4088.0</v>
      </c>
    </row>
    <row r="197" ht="14.25" customHeight="1">
      <c r="A197" s="14">
        <v>43963.0</v>
      </c>
      <c r="B197" s="7" t="s">
        <v>11</v>
      </c>
      <c r="C197" s="7">
        <v>31.0</v>
      </c>
      <c r="D197" s="7">
        <v>4800.0</v>
      </c>
      <c r="E197" s="7">
        <v>4470.0</v>
      </c>
    </row>
    <row r="198" ht="14.25" customHeight="1">
      <c r="A198" s="14">
        <v>43963.0</v>
      </c>
      <c r="B198" s="7" t="s">
        <v>17</v>
      </c>
      <c r="C198" s="7">
        <v>21.0</v>
      </c>
      <c r="D198" s="7">
        <v>1926.0</v>
      </c>
      <c r="E198" s="7">
        <v>1745.0</v>
      </c>
    </row>
    <row r="199" ht="14.25" customHeight="1">
      <c r="A199" s="14">
        <v>43963.0</v>
      </c>
      <c r="B199" s="7" t="s">
        <v>10</v>
      </c>
      <c r="C199" s="7">
        <v>21.0</v>
      </c>
      <c r="D199" s="7">
        <v>1656.0</v>
      </c>
      <c r="E199" s="7">
        <v>1516.0</v>
      </c>
    </row>
    <row r="200" ht="14.25" customHeight="1">
      <c r="A200" s="14">
        <v>43963.0</v>
      </c>
      <c r="B200" s="7" t="s">
        <v>20</v>
      </c>
      <c r="C200" s="7">
        <v>19.0</v>
      </c>
      <c r="D200" s="7">
        <v>1598.0</v>
      </c>
      <c r="E200" s="7">
        <v>1454.0</v>
      </c>
    </row>
    <row r="201" ht="14.25" customHeight="1">
      <c r="A201" s="14">
        <v>43963.0</v>
      </c>
      <c r="B201" s="7" t="s">
        <v>22</v>
      </c>
      <c r="C201" s="7">
        <v>54.0</v>
      </c>
      <c r="D201" s="7">
        <v>11614.0</v>
      </c>
      <c r="E201" s="7">
        <v>10862.0</v>
      </c>
    </row>
    <row r="202" ht="14.25" customHeight="1">
      <c r="A202" s="14">
        <v>43963.0</v>
      </c>
      <c r="B202" s="7" t="s">
        <v>21</v>
      </c>
      <c r="C202" s="7">
        <v>60.0</v>
      </c>
      <c r="D202" s="7">
        <v>12000.0</v>
      </c>
      <c r="E202" s="7">
        <v>11194.0</v>
      </c>
    </row>
    <row r="203" ht="14.25" customHeight="1">
      <c r="A203" s="14">
        <v>43963.0</v>
      </c>
      <c r="B203" s="7" t="s">
        <v>13</v>
      </c>
      <c r="C203" s="7">
        <v>19.0</v>
      </c>
      <c r="D203" s="7">
        <v>1649.0</v>
      </c>
      <c r="E203" s="7">
        <v>1460.0</v>
      </c>
    </row>
    <row r="204" ht="14.25" customHeight="1">
      <c r="A204" s="14">
        <v>43963.0</v>
      </c>
      <c r="B204" s="7" t="s">
        <v>23</v>
      </c>
      <c r="C204" s="7">
        <v>15.0</v>
      </c>
      <c r="D204" s="7">
        <v>750.0</v>
      </c>
      <c r="E204" s="7">
        <v>659.0</v>
      </c>
    </row>
    <row r="205" ht="14.25" customHeight="1">
      <c r="A205" s="14">
        <v>43963.0</v>
      </c>
      <c r="B205" s="7" t="s">
        <v>18</v>
      </c>
      <c r="C205" s="7">
        <v>15.0</v>
      </c>
      <c r="D205" s="7">
        <v>845.0</v>
      </c>
      <c r="E205" s="7">
        <v>743.0</v>
      </c>
    </row>
    <row r="206" ht="14.25" customHeight="1">
      <c r="A206" s="14">
        <v>43963.0</v>
      </c>
      <c r="B206" s="7" t="s">
        <v>19</v>
      </c>
      <c r="C206" s="7">
        <v>15.0</v>
      </c>
      <c r="D206" s="7">
        <v>624.0</v>
      </c>
      <c r="E206" s="7">
        <v>538.0</v>
      </c>
    </row>
    <row r="207" ht="14.25" customHeight="1">
      <c r="A207" s="14">
        <v>43963.0</v>
      </c>
      <c r="B207" s="7" t="s">
        <v>15</v>
      </c>
      <c r="C207" s="7">
        <v>125.0</v>
      </c>
      <c r="D207" s="7">
        <v>21106.0</v>
      </c>
      <c r="E207" s="7">
        <v>19651.0</v>
      </c>
    </row>
    <row r="208" ht="14.25" customHeight="1">
      <c r="A208" s="14">
        <v>43963.0</v>
      </c>
      <c r="B208" s="7" t="s">
        <v>14</v>
      </c>
      <c r="C208" s="7">
        <v>129.0</v>
      </c>
      <c r="D208" s="7">
        <v>16387.0</v>
      </c>
      <c r="E208" s="7">
        <v>15322.0</v>
      </c>
    </row>
    <row r="209" ht="14.25" customHeight="1">
      <c r="A209" s="14">
        <v>43963.0</v>
      </c>
      <c r="B209" s="7" t="s">
        <v>12</v>
      </c>
      <c r="C209" s="7">
        <v>10.0</v>
      </c>
      <c r="D209" s="7">
        <v>526.0</v>
      </c>
      <c r="E209" s="7">
        <v>448.0</v>
      </c>
    </row>
    <row r="210" ht="14.25" customHeight="1">
      <c r="A210" s="14">
        <v>43964.0</v>
      </c>
      <c r="B210" s="7" t="s">
        <v>16</v>
      </c>
      <c r="C210" s="7">
        <v>36.0</v>
      </c>
      <c r="D210" s="7">
        <v>4967.0</v>
      </c>
      <c r="E210" s="7">
        <v>4583.0</v>
      </c>
    </row>
    <row r="211" ht="14.25" customHeight="1">
      <c r="A211" s="14">
        <v>43964.0</v>
      </c>
      <c r="B211" s="7" t="s">
        <v>11</v>
      </c>
      <c r="C211" s="7">
        <v>31.0</v>
      </c>
      <c r="D211" s="7">
        <v>5251.0</v>
      </c>
      <c r="E211" s="7">
        <v>4853.0</v>
      </c>
    </row>
    <row r="212" ht="14.25" customHeight="1">
      <c r="A212" s="14">
        <v>43964.0</v>
      </c>
      <c r="B212" s="7" t="s">
        <v>17</v>
      </c>
      <c r="C212" s="7">
        <v>21.0</v>
      </c>
      <c r="D212" s="7">
        <v>2061.0</v>
      </c>
      <c r="E212" s="7">
        <v>1876.0</v>
      </c>
    </row>
    <row r="213" ht="14.25" customHeight="1">
      <c r="A213" s="14">
        <v>43964.0</v>
      </c>
      <c r="B213" s="7" t="s">
        <v>10</v>
      </c>
      <c r="C213" s="7">
        <v>21.0</v>
      </c>
      <c r="D213" s="7">
        <v>1698.0</v>
      </c>
      <c r="E213" s="7">
        <v>1554.0</v>
      </c>
    </row>
    <row r="214" ht="14.25" customHeight="1">
      <c r="A214" s="14">
        <v>43964.0</v>
      </c>
      <c r="B214" s="7" t="s">
        <v>20</v>
      </c>
      <c r="C214" s="7">
        <v>19.0</v>
      </c>
      <c r="D214" s="7">
        <v>1605.0</v>
      </c>
      <c r="E214" s="7">
        <v>1447.0</v>
      </c>
    </row>
    <row r="215" ht="14.25" customHeight="1">
      <c r="A215" s="14">
        <v>43964.0</v>
      </c>
      <c r="B215" s="7" t="s">
        <v>22</v>
      </c>
      <c r="C215" s="7">
        <v>54.0</v>
      </c>
      <c r="D215" s="7">
        <v>11522.0</v>
      </c>
      <c r="E215" s="7">
        <v>10803.0</v>
      </c>
    </row>
    <row r="216" ht="14.25" customHeight="1">
      <c r="A216" s="14">
        <v>43964.0</v>
      </c>
      <c r="B216" s="7" t="s">
        <v>21</v>
      </c>
      <c r="C216" s="7">
        <v>60.0</v>
      </c>
      <c r="D216" s="7">
        <v>12007.0</v>
      </c>
      <c r="E216" s="7">
        <v>11245.0</v>
      </c>
    </row>
    <row r="217" ht="14.25" customHeight="1">
      <c r="A217" s="14">
        <v>43964.0</v>
      </c>
      <c r="B217" s="7" t="s">
        <v>13</v>
      </c>
      <c r="C217" s="7">
        <v>19.0</v>
      </c>
      <c r="D217" s="7">
        <v>1625.0</v>
      </c>
      <c r="E217" s="7">
        <v>1444.0</v>
      </c>
    </row>
    <row r="218" ht="14.25" customHeight="1">
      <c r="A218" s="14">
        <v>43964.0</v>
      </c>
      <c r="B218" s="7" t="s">
        <v>23</v>
      </c>
      <c r="C218" s="7">
        <v>15.0</v>
      </c>
      <c r="D218" s="7">
        <v>854.0</v>
      </c>
      <c r="E218" s="7">
        <v>756.0</v>
      </c>
    </row>
    <row r="219" ht="14.25" customHeight="1">
      <c r="A219" s="14">
        <v>43964.0</v>
      </c>
      <c r="B219" s="7" t="s">
        <v>18</v>
      </c>
      <c r="C219" s="7">
        <v>15.0</v>
      </c>
      <c r="D219" s="7">
        <v>898.0</v>
      </c>
      <c r="E219" s="7">
        <v>795.0</v>
      </c>
    </row>
    <row r="220" ht="14.25" customHeight="1">
      <c r="A220" s="14">
        <v>43964.0</v>
      </c>
      <c r="B220" s="7" t="s">
        <v>19</v>
      </c>
      <c r="C220" s="7">
        <v>15.0</v>
      </c>
      <c r="D220" s="7">
        <v>599.0</v>
      </c>
      <c r="E220" s="7">
        <v>515.0</v>
      </c>
    </row>
    <row r="221" ht="14.25" customHeight="1">
      <c r="A221" s="14">
        <v>43964.0</v>
      </c>
      <c r="B221" s="7" t="s">
        <v>15</v>
      </c>
      <c r="C221" s="7">
        <v>125.0</v>
      </c>
      <c r="D221" s="7">
        <v>19965.0</v>
      </c>
      <c r="E221" s="7">
        <v>18573.0</v>
      </c>
    </row>
    <row r="222" ht="14.25" customHeight="1">
      <c r="A222" s="14">
        <v>43964.0</v>
      </c>
      <c r="B222" s="7" t="s">
        <v>14</v>
      </c>
      <c r="C222" s="7">
        <v>129.0</v>
      </c>
      <c r="D222" s="7">
        <v>15304.0</v>
      </c>
      <c r="E222" s="7">
        <v>14315.0</v>
      </c>
    </row>
    <row r="223" ht="14.25" customHeight="1">
      <c r="A223" s="14">
        <v>43964.0</v>
      </c>
      <c r="B223" s="7" t="s">
        <v>12</v>
      </c>
      <c r="C223" s="7">
        <v>10.0</v>
      </c>
      <c r="D223" s="7">
        <v>612.0</v>
      </c>
      <c r="E223" s="7">
        <v>530.0</v>
      </c>
    </row>
    <row r="224" ht="14.25" customHeight="1">
      <c r="A224" s="14">
        <v>43965.0</v>
      </c>
      <c r="B224" s="7" t="s">
        <v>16</v>
      </c>
      <c r="C224" s="7">
        <v>36.0</v>
      </c>
      <c r="D224" s="7">
        <v>4285.0</v>
      </c>
      <c r="E224" s="7">
        <v>3950.0</v>
      </c>
    </row>
    <row r="225" ht="14.25" customHeight="1">
      <c r="A225" s="14">
        <v>43965.0</v>
      </c>
      <c r="B225" s="7" t="s">
        <v>11</v>
      </c>
      <c r="C225" s="7">
        <v>31.0</v>
      </c>
      <c r="D225" s="7">
        <v>4695.0</v>
      </c>
      <c r="E225" s="7">
        <v>4372.0</v>
      </c>
    </row>
    <row r="226" ht="14.25" customHeight="1">
      <c r="A226" s="14">
        <v>43965.0</v>
      </c>
      <c r="B226" s="7" t="s">
        <v>17</v>
      </c>
      <c r="C226" s="7">
        <v>21.0</v>
      </c>
      <c r="D226" s="7">
        <v>1993.0</v>
      </c>
      <c r="E226" s="7">
        <v>1796.0</v>
      </c>
    </row>
    <row r="227" ht="14.25" customHeight="1">
      <c r="A227" s="14">
        <v>43965.0</v>
      </c>
      <c r="B227" s="7" t="s">
        <v>10</v>
      </c>
      <c r="C227" s="7">
        <v>21.0</v>
      </c>
      <c r="D227" s="7">
        <v>1706.0</v>
      </c>
      <c r="E227" s="7">
        <v>1548.0</v>
      </c>
    </row>
    <row r="228" ht="14.25" customHeight="1">
      <c r="A228" s="14">
        <v>43965.0</v>
      </c>
      <c r="B228" s="7" t="s">
        <v>20</v>
      </c>
      <c r="C228" s="7">
        <v>19.0</v>
      </c>
      <c r="D228" s="7">
        <v>1635.0</v>
      </c>
      <c r="E228" s="7">
        <v>1487.0</v>
      </c>
    </row>
    <row r="229" ht="14.25" customHeight="1">
      <c r="A229" s="14">
        <v>43965.0</v>
      </c>
      <c r="B229" s="7" t="s">
        <v>22</v>
      </c>
      <c r="C229" s="7">
        <v>54.0</v>
      </c>
      <c r="D229" s="7">
        <v>11194.0</v>
      </c>
      <c r="E229" s="7">
        <v>10554.0</v>
      </c>
    </row>
    <row r="230" ht="14.25" customHeight="1">
      <c r="A230" s="14">
        <v>43965.0</v>
      </c>
      <c r="B230" s="7" t="s">
        <v>21</v>
      </c>
      <c r="C230" s="7">
        <v>60.0</v>
      </c>
      <c r="D230" s="7">
        <v>11935.0</v>
      </c>
      <c r="E230" s="7">
        <v>11178.0</v>
      </c>
    </row>
    <row r="231" ht="14.25" customHeight="1">
      <c r="A231" s="14">
        <v>43965.0</v>
      </c>
      <c r="B231" s="7" t="s">
        <v>13</v>
      </c>
      <c r="C231" s="7">
        <v>19.0</v>
      </c>
      <c r="D231" s="7">
        <v>1675.0</v>
      </c>
      <c r="E231" s="7">
        <v>1475.0</v>
      </c>
    </row>
    <row r="232" ht="14.25" customHeight="1">
      <c r="A232" s="14">
        <v>43965.0</v>
      </c>
      <c r="B232" s="7" t="s">
        <v>23</v>
      </c>
      <c r="C232" s="7">
        <v>16.0</v>
      </c>
      <c r="D232" s="7">
        <v>834.0</v>
      </c>
      <c r="E232" s="7">
        <v>735.0</v>
      </c>
    </row>
    <row r="233" ht="14.25" customHeight="1">
      <c r="A233" s="14">
        <v>43965.0</v>
      </c>
      <c r="B233" s="7" t="s">
        <v>18</v>
      </c>
      <c r="C233" s="7">
        <v>15.0</v>
      </c>
      <c r="D233" s="7">
        <v>890.0</v>
      </c>
      <c r="E233" s="7">
        <v>777.0</v>
      </c>
    </row>
    <row r="234" ht="14.25" customHeight="1">
      <c r="A234" s="14">
        <v>43965.0</v>
      </c>
      <c r="B234" s="7" t="s">
        <v>19</v>
      </c>
      <c r="C234" s="7">
        <v>15.0</v>
      </c>
      <c r="D234" s="7">
        <v>638.0</v>
      </c>
      <c r="E234" s="7">
        <v>548.0</v>
      </c>
    </row>
    <row r="235" ht="14.25" customHeight="1">
      <c r="A235" s="14">
        <v>43965.0</v>
      </c>
      <c r="B235" s="7" t="s">
        <v>15</v>
      </c>
      <c r="C235" s="7">
        <v>125.0</v>
      </c>
      <c r="D235" s="7">
        <v>20247.0</v>
      </c>
      <c r="E235" s="7">
        <v>18812.0</v>
      </c>
    </row>
    <row r="236" ht="14.25" customHeight="1">
      <c r="A236" s="14">
        <v>43965.0</v>
      </c>
      <c r="B236" s="7" t="s">
        <v>14</v>
      </c>
      <c r="C236" s="7">
        <v>129.0</v>
      </c>
      <c r="D236" s="7">
        <v>15804.0</v>
      </c>
      <c r="E236" s="7">
        <v>14738.0</v>
      </c>
    </row>
    <row r="237" ht="14.25" customHeight="1">
      <c r="A237" s="14">
        <v>43965.0</v>
      </c>
      <c r="B237" s="7" t="s">
        <v>12</v>
      </c>
      <c r="C237" s="7">
        <v>10.0</v>
      </c>
      <c r="D237" s="7">
        <v>627.0</v>
      </c>
      <c r="E237" s="7">
        <v>545.0</v>
      </c>
    </row>
    <row r="238" ht="14.25" customHeight="1">
      <c r="A238" s="14">
        <v>43966.0</v>
      </c>
      <c r="B238" s="7" t="s">
        <v>16</v>
      </c>
      <c r="C238" s="7">
        <v>36.0</v>
      </c>
      <c r="D238" s="7">
        <v>4862.0</v>
      </c>
      <c r="E238" s="7">
        <v>4476.0</v>
      </c>
    </row>
    <row r="239" ht="14.25" customHeight="1">
      <c r="A239" s="14">
        <v>43966.0</v>
      </c>
      <c r="B239" s="7" t="s">
        <v>11</v>
      </c>
      <c r="C239" s="7">
        <v>31.0</v>
      </c>
      <c r="D239" s="7">
        <v>5184.0</v>
      </c>
      <c r="E239" s="7">
        <v>4778.0</v>
      </c>
    </row>
    <row r="240" ht="14.25" customHeight="1">
      <c r="A240" s="14">
        <v>43966.0</v>
      </c>
      <c r="B240" s="7" t="s">
        <v>17</v>
      </c>
      <c r="C240" s="7">
        <v>21.0</v>
      </c>
      <c r="D240" s="7">
        <v>2255.0</v>
      </c>
      <c r="E240" s="7">
        <v>2045.0</v>
      </c>
    </row>
    <row r="241" ht="14.25" customHeight="1">
      <c r="A241" s="14">
        <v>43966.0</v>
      </c>
      <c r="B241" s="7" t="s">
        <v>10</v>
      </c>
      <c r="C241" s="7">
        <v>21.0</v>
      </c>
      <c r="D241" s="7">
        <v>1926.0</v>
      </c>
      <c r="E241" s="7">
        <v>1742.0</v>
      </c>
    </row>
    <row r="242" ht="14.25" customHeight="1">
      <c r="A242" s="14">
        <v>43966.0</v>
      </c>
      <c r="B242" s="7" t="s">
        <v>20</v>
      </c>
      <c r="C242" s="7">
        <v>19.0</v>
      </c>
      <c r="D242" s="7">
        <v>1780.0</v>
      </c>
      <c r="E242" s="7">
        <v>1615.0</v>
      </c>
    </row>
    <row r="243" ht="14.25" customHeight="1">
      <c r="A243" s="14">
        <v>43966.0</v>
      </c>
      <c r="B243" s="7" t="s">
        <v>22</v>
      </c>
      <c r="C243" s="7">
        <v>54.0</v>
      </c>
      <c r="D243" s="7">
        <v>12791.0</v>
      </c>
      <c r="E243" s="7">
        <v>11950.0</v>
      </c>
    </row>
    <row r="244" ht="14.25" customHeight="1">
      <c r="A244" s="14">
        <v>43966.0</v>
      </c>
      <c r="B244" s="7" t="s">
        <v>21</v>
      </c>
      <c r="C244" s="7">
        <v>60.0</v>
      </c>
      <c r="D244" s="7">
        <v>13544.0</v>
      </c>
      <c r="E244" s="7">
        <v>12643.0</v>
      </c>
    </row>
    <row r="245" ht="14.25" customHeight="1">
      <c r="A245" s="14">
        <v>43966.0</v>
      </c>
      <c r="B245" s="7" t="s">
        <v>13</v>
      </c>
      <c r="C245" s="7">
        <v>19.0</v>
      </c>
      <c r="D245" s="7">
        <v>1940.0</v>
      </c>
      <c r="E245" s="7">
        <v>1715.0</v>
      </c>
    </row>
    <row r="246" ht="14.25" customHeight="1">
      <c r="A246" s="14">
        <v>43966.0</v>
      </c>
      <c r="B246" s="7" t="s">
        <v>23</v>
      </c>
      <c r="C246" s="7">
        <v>16.0</v>
      </c>
      <c r="D246" s="7">
        <v>817.0</v>
      </c>
      <c r="E246" s="7">
        <v>718.0</v>
      </c>
    </row>
    <row r="247" ht="14.25" customHeight="1">
      <c r="A247" s="14">
        <v>43966.0</v>
      </c>
      <c r="B247" s="7" t="s">
        <v>18</v>
      </c>
      <c r="C247" s="7">
        <v>15.0</v>
      </c>
      <c r="D247" s="7">
        <v>980.0</v>
      </c>
      <c r="E247" s="7">
        <v>867.0</v>
      </c>
    </row>
    <row r="248" ht="14.25" customHeight="1">
      <c r="A248" s="14">
        <v>43966.0</v>
      </c>
      <c r="B248" s="7" t="s">
        <v>19</v>
      </c>
      <c r="C248" s="7">
        <v>15.0</v>
      </c>
      <c r="D248" s="7">
        <v>688.0</v>
      </c>
      <c r="E248" s="7">
        <v>598.0</v>
      </c>
    </row>
    <row r="249" ht="14.25" customHeight="1">
      <c r="A249" s="14">
        <v>43966.0</v>
      </c>
      <c r="B249" s="7" t="s">
        <v>15</v>
      </c>
      <c r="C249" s="7">
        <v>125.0</v>
      </c>
      <c r="D249" s="7">
        <v>21862.0</v>
      </c>
      <c r="E249" s="7">
        <v>20235.0</v>
      </c>
    </row>
    <row r="250" ht="14.25" customHeight="1">
      <c r="A250" s="14">
        <v>43966.0</v>
      </c>
      <c r="B250" s="7" t="s">
        <v>14</v>
      </c>
      <c r="C250" s="7">
        <v>129.0</v>
      </c>
      <c r="D250" s="7">
        <v>17808.0</v>
      </c>
      <c r="E250" s="7">
        <v>16486.0</v>
      </c>
    </row>
    <row r="251" ht="14.25" customHeight="1">
      <c r="A251" s="14">
        <v>43966.0</v>
      </c>
      <c r="B251" s="7" t="s">
        <v>12</v>
      </c>
      <c r="C251" s="7">
        <v>10.0</v>
      </c>
      <c r="D251" s="7">
        <v>743.0</v>
      </c>
      <c r="E251" s="7">
        <v>652.0</v>
      </c>
    </row>
    <row r="252" ht="14.25" customHeight="1">
      <c r="A252" s="14">
        <v>43967.0</v>
      </c>
      <c r="B252" s="7" t="s">
        <v>16</v>
      </c>
      <c r="C252" s="7">
        <v>36.0</v>
      </c>
      <c r="D252" s="7">
        <v>5286.0</v>
      </c>
      <c r="E252" s="7">
        <v>4867.0</v>
      </c>
    </row>
    <row r="253" ht="14.25" customHeight="1">
      <c r="A253" s="14">
        <v>43967.0</v>
      </c>
      <c r="B253" s="7" t="s">
        <v>11</v>
      </c>
      <c r="C253" s="7">
        <v>31.0</v>
      </c>
      <c r="D253" s="7">
        <v>5593.0</v>
      </c>
      <c r="E253" s="7">
        <v>5177.0</v>
      </c>
    </row>
    <row r="254" ht="14.25" customHeight="1">
      <c r="A254" s="14">
        <v>43967.0</v>
      </c>
      <c r="B254" s="7" t="s">
        <v>17</v>
      </c>
      <c r="C254" s="7">
        <v>21.0</v>
      </c>
      <c r="D254" s="7">
        <v>2427.0</v>
      </c>
      <c r="E254" s="7">
        <v>2213.0</v>
      </c>
    </row>
    <row r="255" ht="14.25" customHeight="1">
      <c r="A255" s="14">
        <v>43967.0</v>
      </c>
      <c r="B255" s="7" t="s">
        <v>10</v>
      </c>
      <c r="C255" s="7">
        <v>21.0</v>
      </c>
      <c r="D255" s="7">
        <v>2145.0</v>
      </c>
      <c r="E255" s="7">
        <v>1947.0</v>
      </c>
    </row>
    <row r="256" ht="14.25" customHeight="1">
      <c r="A256" s="14">
        <v>43967.0</v>
      </c>
      <c r="B256" s="7" t="s">
        <v>20</v>
      </c>
      <c r="C256" s="7">
        <v>19.0</v>
      </c>
      <c r="D256" s="7">
        <v>2039.0</v>
      </c>
      <c r="E256" s="7">
        <v>1868.0</v>
      </c>
    </row>
    <row r="257" ht="14.25" customHeight="1">
      <c r="A257" s="14">
        <v>43967.0</v>
      </c>
      <c r="B257" s="7" t="s">
        <v>22</v>
      </c>
      <c r="C257" s="7">
        <v>54.0</v>
      </c>
      <c r="D257" s="7">
        <v>13170.0</v>
      </c>
      <c r="E257" s="7">
        <v>12299.0</v>
      </c>
    </row>
    <row r="258" ht="14.25" customHeight="1">
      <c r="A258" s="14">
        <v>43967.0</v>
      </c>
      <c r="B258" s="7" t="s">
        <v>21</v>
      </c>
      <c r="C258" s="7">
        <v>60.0</v>
      </c>
      <c r="D258" s="7">
        <v>14049.0</v>
      </c>
      <c r="E258" s="7">
        <v>13118.0</v>
      </c>
    </row>
    <row r="259" ht="14.25" customHeight="1">
      <c r="A259" s="14">
        <v>43967.0</v>
      </c>
      <c r="B259" s="7" t="s">
        <v>13</v>
      </c>
      <c r="C259" s="7">
        <v>19.0</v>
      </c>
      <c r="D259" s="7">
        <v>2080.0</v>
      </c>
      <c r="E259" s="7">
        <v>1844.0</v>
      </c>
    </row>
    <row r="260" ht="14.25" customHeight="1">
      <c r="A260" s="14">
        <v>43967.0</v>
      </c>
      <c r="B260" s="7" t="s">
        <v>23</v>
      </c>
      <c r="C260" s="7">
        <v>16.0</v>
      </c>
      <c r="D260" s="7">
        <v>920.0</v>
      </c>
      <c r="E260" s="7">
        <v>818.0</v>
      </c>
    </row>
    <row r="261" ht="14.25" customHeight="1">
      <c r="A261" s="14">
        <v>43967.0</v>
      </c>
      <c r="B261" s="7" t="s">
        <v>18</v>
      </c>
      <c r="C261" s="7">
        <v>15.0</v>
      </c>
      <c r="D261" s="7">
        <v>1111.0</v>
      </c>
      <c r="E261" s="7">
        <v>992.0</v>
      </c>
    </row>
    <row r="262" ht="14.25" customHeight="1">
      <c r="A262" s="14">
        <v>43967.0</v>
      </c>
      <c r="B262" s="7" t="s">
        <v>19</v>
      </c>
      <c r="C262" s="7">
        <v>15.0</v>
      </c>
      <c r="D262" s="7">
        <v>747.0</v>
      </c>
      <c r="E262" s="7">
        <v>647.0</v>
      </c>
    </row>
    <row r="263" ht="14.25" customHeight="1">
      <c r="A263" s="14">
        <v>43967.0</v>
      </c>
      <c r="B263" s="7" t="s">
        <v>15</v>
      </c>
      <c r="C263" s="7">
        <v>125.0</v>
      </c>
      <c r="D263" s="7">
        <v>22291.0</v>
      </c>
      <c r="E263" s="7">
        <v>20635.0</v>
      </c>
    </row>
    <row r="264" ht="14.25" customHeight="1">
      <c r="A264" s="14">
        <v>43967.0</v>
      </c>
      <c r="B264" s="7" t="s">
        <v>14</v>
      </c>
      <c r="C264" s="7">
        <v>129.0</v>
      </c>
      <c r="D264" s="7">
        <v>17914.0</v>
      </c>
      <c r="E264" s="7">
        <v>16631.0</v>
      </c>
    </row>
    <row r="265" ht="14.25" customHeight="1">
      <c r="A265" s="14">
        <v>43967.0</v>
      </c>
      <c r="B265" s="7" t="s">
        <v>12</v>
      </c>
      <c r="C265" s="7">
        <v>10.0</v>
      </c>
      <c r="D265" s="7">
        <v>760.0</v>
      </c>
      <c r="E265" s="7">
        <v>672.0</v>
      </c>
    </row>
    <row r="266" ht="14.25" customHeight="1">
      <c r="A266" s="14">
        <v>43968.0</v>
      </c>
      <c r="B266" s="7" t="s">
        <v>16</v>
      </c>
      <c r="C266" s="7">
        <v>36.0</v>
      </c>
      <c r="D266" s="7">
        <v>4918.0</v>
      </c>
      <c r="E266" s="7">
        <v>4554.0</v>
      </c>
    </row>
    <row r="267" ht="14.25" customHeight="1">
      <c r="A267" s="14">
        <v>43968.0</v>
      </c>
      <c r="B267" s="7" t="s">
        <v>11</v>
      </c>
      <c r="C267" s="7">
        <v>31.0</v>
      </c>
      <c r="D267" s="7">
        <v>5206.0</v>
      </c>
      <c r="E267" s="7">
        <v>4843.0</v>
      </c>
    </row>
    <row r="268" ht="14.25" customHeight="1">
      <c r="A268" s="14">
        <v>43968.0</v>
      </c>
      <c r="B268" s="7" t="s">
        <v>17</v>
      </c>
      <c r="C268" s="7">
        <v>21.0</v>
      </c>
      <c r="D268" s="7">
        <v>2054.0</v>
      </c>
      <c r="E268" s="7">
        <v>1883.0</v>
      </c>
    </row>
    <row r="269" ht="14.25" customHeight="1">
      <c r="A269" s="14">
        <v>43968.0</v>
      </c>
      <c r="B269" s="7" t="s">
        <v>10</v>
      </c>
      <c r="C269" s="7">
        <v>21.0</v>
      </c>
      <c r="D269" s="7">
        <v>1874.0</v>
      </c>
      <c r="E269" s="7">
        <v>1705.0</v>
      </c>
    </row>
    <row r="270" ht="14.25" customHeight="1">
      <c r="A270" s="14">
        <v>43968.0</v>
      </c>
      <c r="B270" s="7" t="s">
        <v>20</v>
      </c>
      <c r="C270" s="7">
        <v>19.0</v>
      </c>
      <c r="D270" s="7">
        <v>1790.0</v>
      </c>
      <c r="E270" s="7">
        <v>1633.0</v>
      </c>
    </row>
    <row r="271" ht="14.25" customHeight="1">
      <c r="A271" s="14">
        <v>43968.0</v>
      </c>
      <c r="B271" s="7" t="s">
        <v>22</v>
      </c>
      <c r="C271" s="7">
        <v>54.0</v>
      </c>
      <c r="D271" s="7">
        <v>11128.0</v>
      </c>
      <c r="E271" s="7">
        <v>10467.0</v>
      </c>
    </row>
    <row r="272" ht="14.25" customHeight="1">
      <c r="A272" s="14">
        <v>43968.0</v>
      </c>
      <c r="B272" s="7" t="s">
        <v>21</v>
      </c>
      <c r="C272" s="7">
        <v>60.0</v>
      </c>
      <c r="D272" s="7">
        <v>11698.0</v>
      </c>
      <c r="E272" s="7">
        <v>10989.0</v>
      </c>
    </row>
    <row r="273" ht="14.25" customHeight="1">
      <c r="A273" s="14">
        <v>43968.0</v>
      </c>
      <c r="B273" s="7" t="s">
        <v>13</v>
      </c>
      <c r="C273" s="7">
        <v>19.0</v>
      </c>
      <c r="D273" s="7">
        <v>1871.0</v>
      </c>
      <c r="E273" s="7">
        <v>1660.0</v>
      </c>
    </row>
    <row r="274" ht="14.25" customHeight="1">
      <c r="A274" s="14">
        <v>43968.0</v>
      </c>
      <c r="B274" s="7" t="s">
        <v>23</v>
      </c>
      <c r="C274" s="7">
        <v>16.0</v>
      </c>
      <c r="D274" s="7">
        <v>859.0</v>
      </c>
      <c r="E274" s="7">
        <v>746.0</v>
      </c>
    </row>
    <row r="275" ht="14.25" customHeight="1">
      <c r="A275" s="14">
        <v>43968.0</v>
      </c>
      <c r="B275" s="7" t="s">
        <v>18</v>
      </c>
      <c r="C275" s="7">
        <v>15.0</v>
      </c>
      <c r="D275" s="7">
        <v>971.0</v>
      </c>
      <c r="E275" s="7">
        <v>856.0</v>
      </c>
    </row>
    <row r="276" ht="14.25" customHeight="1">
      <c r="A276" s="14">
        <v>43968.0</v>
      </c>
      <c r="B276" s="7" t="s">
        <v>19</v>
      </c>
      <c r="C276" s="7">
        <v>15.0</v>
      </c>
      <c r="D276" s="7">
        <v>692.0</v>
      </c>
      <c r="E276" s="7">
        <v>591.0</v>
      </c>
    </row>
    <row r="277" ht="14.25" customHeight="1">
      <c r="A277" s="14">
        <v>43968.0</v>
      </c>
      <c r="B277" s="7" t="s">
        <v>15</v>
      </c>
      <c r="C277" s="7">
        <v>125.0</v>
      </c>
      <c r="D277" s="7">
        <v>20079.0</v>
      </c>
      <c r="E277" s="7">
        <v>18721.0</v>
      </c>
    </row>
    <row r="278" ht="14.25" customHeight="1">
      <c r="A278" s="14">
        <v>43968.0</v>
      </c>
      <c r="B278" s="7" t="s">
        <v>14</v>
      </c>
      <c r="C278" s="7">
        <v>129.0</v>
      </c>
      <c r="D278" s="7">
        <v>15744.0</v>
      </c>
      <c r="E278" s="7">
        <v>14685.0</v>
      </c>
    </row>
    <row r="279" ht="14.25" customHeight="1">
      <c r="A279" s="14">
        <v>43968.0</v>
      </c>
      <c r="B279" s="7" t="s">
        <v>12</v>
      </c>
      <c r="C279" s="7">
        <v>10.0</v>
      </c>
      <c r="D279" s="7">
        <v>591.0</v>
      </c>
      <c r="E279" s="7">
        <v>513.0</v>
      </c>
    </row>
    <row r="280" ht="14.25" customHeight="1">
      <c r="A280" s="14">
        <v>43969.0</v>
      </c>
      <c r="B280" s="7" t="s">
        <v>16</v>
      </c>
      <c r="C280" s="7">
        <v>36.0</v>
      </c>
      <c r="D280" s="7">
        <v>4885.0</v>
      </c>
      <c r="E280" s="7">
        <v>4502.0</v>
      </c>
    </row>
    <row r="281" ht="14.25" customHeight="1">
      <c r="A281" s="14">
        <v>43969.0</v>
      </c>
      <c r="B281" s="7" t="s">
        <v>11</v>
      </c>
      <c r="C281" s="7">
        <v>31.0</v>
      </c>
      <c r="D281" s="7">
        <v>5165.0</v>
      </c>
      <c r="E281" s="7">
        <v>4813.0</v>
      </c>
    </row>
    <row r="282" ht="14.25" customHeight="1">
      <c r="A282" s="14">
        <v>43969.0</v>
      </c>
      <c r="B282" s="7" t="s">
        <v>17</v>
      </c>
      <c r="C282" s="7">
        <v>21.0</v>
      </c>
      <c r="D282" s="7">
        <v>2136.0</v>
      </c>
      <c r="E282" s="7">
        <v>1947.0</v>
      </c>
    </row>
    <row r="283" ht="14.25" customHeight="1">
      <c r="A283" s="14">
        <v>43969.0</v>
      </c>
      <c r="B283" s="7" t="s">
        <v>10</v>
      </c>
      <c r="C283" s="7">
        <v>21.0</v>
      </c>
      <c r="D283" s="7">
        <v>1834.0</v>
      </c>
      <c r="E283" s="7">
        <v>1660.0</v>
      </c>
    </row>
    <row r="284" ht="14.25" customHeight="1">
      <c r="A284" s="14">
        <v>43969.0</v>
      </c>
      <c r="B284" s="7" t="s">
        <v>20</v>
      </c>
      <c r="C284" s="7">
        <v>19.0</v>
      </c>
      <c r="D284" s="7">
        <v>1741.0</v>
      </c>
      <c r="E284" s="7">
        <v>1597.0</v>
      </c>
    </row>
    <row r="285" ht="14.25" customHeight="1">
      <c r="A285" s="14">
        <v>43969.0</v>
      </c>
      <c r="B285" s="7" t="s">
        <v>22</v>
      </c>
      <c r="C285" s="7">
        <v>54.0</v>
      </c>
      <c r="D285" s="7">
        <v>12012.0</v>
      </c>
      <c r="E285" s="7">
        <v>11308.0</v>
      </c>
    </row>
    <row r="286" ht="14.25" customHeight="1">
      <c r="A286" s="14">
        <v>43969.0</v>
      </c>
      <c r="B286" s="7" t="s">
        <v>21</v>
      </c>
      <c r="C286" s="7">
        <v>60.0</v>
      </c>
      <c r="D286" s="7">
        <v>12460.0</v>
      </c>
      <c r="E286" s="7">
        <v>11665.0</v>
      </c>
    </row>
    <row r="287" ht="14.25" customHeight="1">
      <c r="A287" s="14">
        <v>43969.0</v>
      </c>
      <c r="B287" s="7" t="s">
        <v>13</v>
      </c>
      <c r="C287" s="7">
        <v>19.0</v>
      </c>
      <c r="D287" s="7">
        <v>1858.0</v>
      </c>
      <c r="E287" s="7">
        <v>1648.0</v>
      </c>
    </row>
    <row r="288" ht="14.25" customHeight="1">
      <c r="A288" s="14">
        <v>43969.0</v>
      </c>
      <c r="B288" s="7" t="s">
        <v>23</v>
      </c>
      <c r="C288" s="7">
        <v>16.0</v>
      </c>
      <c r="D288" s="7">
        <v>864.0</v>
      </c>
      <c r="E288" s="7">
        <v>765.0</v>
      </c>
    </row>
    <row r="289" ht="14.25" customHeight="1">
      <c r="A289" s="14">
        <v>43969.0</v>
      </c>
      <c r="B289" s="7" t="s">
        <v>18</v>
      </c>
      <c r="C289" s="7">
        <v>16.0</v>
      </c>
      <c r="D289" s="7">
        <v>925.0</v>
      </c>
      <c r="E289" s="7">
        <v>816.0</v>
      </c>
    </row>
    <row r="290" ht="14.25" customHeight="1">
      <c r="A290" s="14">
        <v>43969.0</v>
      </c>
      <c r="B290" s="7" t="s">
        <v>19</v>
      </c>
      <c r="C290" s="7">
        <v>15.0</v>
      </c>
      <c r="D290" s="7">
        <v>729.0</v>
      </c>
      <c r="E290" s="7">
        <v>636.0</v>
      </c>
    </row>
    <row r="291" ht="14.25" customHeight="1">
      <c r="A291" s="14">
        <v>43969.0</v>
      </c>
      <c r="B291" s="7" t="s">
        <v>15</v>
      </c>
      <c r="C291" s="7">
        <v>125.0</v>
      </c>
      <c r="D291" s="7">
        <v>20449.0</v>
      </c>
      <c r="E291" s="7">
        <v>19060.0</v>
      </c>
    </row>
    <row r="292" ht="14.25" customHeight="1">
      <c r="A292" s="14">
        <v>43969.0</v>
      </c>
      <c r="B292" s="7" t="s">
        <v>14</v>
      </c>
      <c r="C292" s="7">
        <v>129.0</v>
      </c>
      <c r="D292" s="7">
        <v>16110.0</v>
      </c>
      <c r="E292" s="7">
        <v>14992.0</v>
      </c>
    </row>
    <row r="293" ht="14.25" customHeight="1">
      <c r="A293" s="14">
        <v>43969.0</v>
      </c>
      <c r="B293" s="7" t="s">
        <v>12</v>
      </c>
      <c r="C293" s="7">
        <v>10.0</v>
      </c>
      <c r="D293" s="7">
        <v>645.0</v>
      </c>
      <c r="E293" s="7">
        <v>565.0</v>
      </c>
    </row>
    <row r="294" ht="14.25" customHeight="1">
      <c r="A294" s="14">
        <v>43970.0</v>
      </c>
      <c r="B294" s="7" t="s">
        <v>16</v>
      </c>
      <c r="C294" s="7">
        <v>36.0</v>
      </c>
      <c r="D294" s="7">
        <v>5094.0</v>
      </c>
      <c r="E294" s="7">
        <v>4716.0</v>
      </c>
    </row>
    <row r="295" ht="14.25" customHeight="1">
      <c r="A295" s="14">
        <v>43970.0</v>
      </c>
      <c r="B295" s="7" t="s">
        <v>11</v>
      </c>
      <c r="C295" s="7">
        <v>31.0</v>
      </c>
      <c r="D295" s="7">
        <v>5389.0</v>
      </c>
      <c r="E295" s="7">
        <v>5024.0</v>
      </c>
    </row>
    <row r="296" ht="14.25" customHeight="1">
      <c r="A296" s="14">
        <v>43970.0</v>
      </c>
      <c r="B296" s="7" t="s">
        <v>17</v>
      </c>
      <c r="C296" s="7">
        <v>21.0</v>
      </c>
      <c r="D296" s="7">
        <v>2245.0</v>
      </c>
      <c r="E296" s="7">
        <v>2053.0</v>
      </c>
    </row>
    <row r="297" ht="14.25" customHeight="1">
      <c r="A297" s="14">
        <v>43970.0</v>
      </c>
      <c r="B297" s="7" t="s">
        <v>10</v>
      </c>
      <c r="C297" s="7">
        <v>21.0</v>
      </c>
      <c r="D297" s="7">
        <v>1860.0</v>
      </c>
      <c r="E297" s="7">
        <v>1704.0</v>
      </c>
    </row>
    <row r="298" ht="14.25" customHeight="1">
      <c r="A298" s="14">
        <v>43970.0</v>
      </c>
      <c r="B298" s="7" t="s">
        <v>20</v>
      </c>
      <c r="C298" s="7">
        <v>19.0</v>
      </c>
      <c r="D298" s="7">
        <v>1831.0</v>
      </c>
      <c r="E298" s="7">
        <v>1667.0</v>
      </c>
    </row>
    <row r="299" ht="14.25" customHeight="1">
      <c r="A299" s="14">
        <v>43970.0</v>
      </c>
      <c r="B299" s="7" t="s">
        <v>22</v>
      </c>
      <c r="C299" s="7">
        <v>54.0</v>
      </c>
      <c r="D299" s="7">
        <v>13070.0</v>
      </c>
      <c r="E299" s="7">
        <v>12244.0</v>
      </c>
    </row>
    <row r="300" ht="14.25" customHeight="1">
      <c r="A300" s="14">
        <v>43970.0</v>
      </c>
      <c r="B300" s="7" t="s">
        <v>21</v>
      </c>
      <c r="C300" s="7">
        <v>60.0</v>
      </c>
      <c r="D300" s="7">
        <v>13867.0</v>
      </c>
      <c r="E300" s="7">
        <v>12987.0</v>
      </c>
    </row>
    <row r="301" ht="14.25" customHeight="1">
      <c r="A301" s="14">
        <v>43970.0</v>
      </c>
      <c r="B301" s="7" t="s">
        <v>13</v>
      </c>
      <c r="C301" s="7">
        <v>19.0</v>
      </c>
      <c r="D301" s="7">
        <v>1999.0</v>
      </c>
      <c r="E301" s="7">
        <v>1799.0</v>
      </c>
    </row>
    <row r="302" ht="14.25" customHeight="1">
      <c r="A302" s="14">
        <v>43970.0</v>
      </c>
      <c r="B302" s="7" t="s">
        <v>23</v>
      </c>
      <c r="C302" s="7">
        <v>17.0</v>
      </c>
      <c r="D302" s="7">
        <v>857.0</v>
      </c>
      <c r="E302" s="7">
        <v>757.0</v>
      </c>
    </row>
    <row r="303" ht="14.25" customHeight="1">
      <c r="A303" s="14">
        <v>43970.0</v>
      </c>
      <c r="B303" s="7" t="s">
        <v>18</v>
      </c>
      <c r="C303" s="7">
        <v>16.0</v>
      </c>
      <c r="D303" s="7">
        <v>1012.0</v>
      </c>
      <c r="E303" s="7">
        <v>900.0</v>
      </c>
    </row>
    <row r="304" ht="14.25" customHeight="1">
      <c r="A304" s="14">
        <v>43970.0</v>
      </c>
      <c r="B304" s="7" t="s">
        <v>19</v>
      </c>
      <c r="C304" s="7">
        <v>15.0</v>
      </c>
      <c r="D304" s="7">
        <v>930.0</v>
      </c>
      <c r="E304" s="7">
        <v>827.0</v>
      </c>
    </row>
    <row r="305" ht="14.25" customHeight="1">
      <c r="A305" s="14">
        <v>43970.0</v>
      </c>
      <c r="B305" s="7" t="s">
        <v>15</v>
      </c>
      <c r="C305" s="7">
        <v>125.0</v>
      </c>
      <c r="D305" s="7">
        <v>20771.0</v>
      </c>
      <c r="E305" s="7">
        <v>19338.0</v>
      </c>
    </row>
    <row r="306" ht="14.25" customHeight="1">
      <c r="A306" s="14">
        <v>43970.0</v>
      </c>
      <c r="B306" s="7" t="s">
        <v>14</v>
      </c>
      <c r="C306" s="7">
        <v>129.0</v>
      </c>
      <c r="D306" s="7">
        <v>16191.0</v>
      </c>
      <c r="E306" s="7">
        <v>15102.0</v>
      </c>
    </row>
    <row r="307" ht="14.25" customHeight="1">
      <c r="A307" s="14">
        <v>43970.0</v>
      </c>
      <c r="B307" s="7" t="s">
        <v>12</v>
      </c>
      <c r="C307" s="7">
        <v>10.0</v>
      </c>
      <c r="D307" s="7">
        <v>649.0</v>
      </c>
      <c r="E307" s="7">
        <v>568.0</v>
      </c>
    </row>
    <row r="308" ht="14.25" customHeight="1">
      <c r="A308" s="14">
        <v>43971.0</v>
      </c>
      <c r="B308" s="7" t="s">
        <v>16</v>
      </c>
      <c r="C308" s="7">
        <v>36.0</v>
      </c>
      <c r="D308" s="7">
        <v>5914.0</v>
      </c>
      <c r="E308" s="7">
        <v>5384.0</v>
      </c>
    </row>
    <row r="309" ht="14.25" customHeight="1">
      <c r="A309" s="14">
        <v>43971.0</v>
      </c>
      <c r="B309" s="7" t="s">
        <v>11</v>
      </c>
      <c r="C309" s="7">
        <v>31.0</v>
      </c>
      <c r="D309" s="7">
        <v>5698.0</v>
      </c>
      <c r="E309" s="7">
        <v>5258.0</v>
      </c>
    </row>
    <row r="310" ht="14.25" customHeight="1">
      <c r="A310" s="14">
        <v>43971.0</v>
      </c>
      <c r="B310" s="7" t="s">
        <v>17</v>
      </c>
      <c r="C310" s="7">
        <v>21.0</v>
      </c>
      <c r="D310" s="7">
        <v>2410.0</v>
      </c>
      <c r="E310" s="7">
        <v>2202.0</v>
      </c>
    </row>
    <row r="311" ht="14.25" customHeight="1">
      <c r="A311" s="14">
        <v>43971.0</v>
      </c>
      <c r="B311" s="7" t="s">
        <v>10</v>
      </c>
      <c r="C311" s="7">
        <v>21.0</v>
      </c>
      <c r="D311" s="7">
        <v>1921.0</v>
      </c>
      <c r="E311" s="7">
        <v>1767.0</v>
      </c>
    </row>
    <row r="312" ht="14.25" customHeight="1">
      <c r="A312" s="14">
        <v>43971.0</v>
      </c>
      <c r="B312" s="7" t="s">
        <v>20</v>
      </c>
      <c r="C312" s="7">
        <v>19.0</v>
      </c>
      <c r="D312" s="7">
        <v>1823.0</v>
      </c>
      <c r="E312" s="7">
        <v>1678.0</v>
      </c>
    </row>
    <row r="313" ht="14.25" customHeight="1">
      <c r="A313" s="14">
        <v>43971.0</v>
      </c>
      <c r="B313" s="7" t="s">
        <v>22</v>
      </c>
      <c r="C313" s="7">
        <v>54.0</v>
      </c>
      <c r="D313" s="7">
        <v>13298.0</v>
      </c>
      <c r="E313" s="7">
        <v>12428.0</v>
      </c>
    </row>
    <row r="314" ht="14.25" customHeight="1">
      <c r="A314" s="14">
        <v>43971.0</v>
      </c>
      <c r="B314" s="7" t="s">
        <v>21</v>
      </c>
      <c r="C314" s="7">
        <v>60.0</v>
      </c>
      <c r="D314" s="7">
        <v>13792.0</v>
      </c>
      <c r="E314" s="7">
        <v>12834.0</v>
      </c>
    </row>
    <row r="315" ht="14.25" customHeight="1">
      <c r="A315" s="14">
        <v>43971.0</v>
      </c>
      <c r="B315" s="7" t="s">
        <v>13</v>
      </c>
      <c r="C315" s="7">
        <v>19.0</v>
      </c>
      <c r="D315" s="7">
        <v>1889.0</v>
      </c>
      <c r="E315" s="7">
        <v>1690.0</v>
      </c>
    </row>
    <row r="316" ht="14.25" customHeight="1">
      <c r="A316" s="14">
        <v>43971.0</v>
      </c>
      <c r="B316" s="7" t="s">
        <v>23</v>
      </c>
      <c r="C316" s="7">
        <v>17.0</v>
      </c>
      <c r="D316" s="7">
        <v>890.0</v>
      </c>
      <c r="E316" s="7">
        <v>794.0</v>
      </c>
    </row>
    <row r="317" ht="14.25" customHeight="1">
      <c r="A317" s="14">
        <v>43971.0</v>
      </c>
      <c r="B317" s="7" t="s">
        <v>18</v>
      </c>
      <c r="C317" s="7">
        <v>16.0</v>
      </c>
      <c r="D317" s="7">
        <v>1050.0</v>
      </c>
      <c r="E317" s="7">
        <v>938.0</v>
      </c>
    </row>
    <row r="318" ht="14.25" customHeight="1">
      <c r="A318" s="14">
        <v>43971.0</v>
      </c>
      <c r="B318" s="7" t="s">
        <v>19</v>
      </c>
      <c r="C318" s="7">
        <v>15.0</v>
      </c>
      <c r="D318" s="7">
        <v>760.0</v>
      </c>
      <c r="E318" s="7">
        <v>664.0</v>
      </c>
    </row>
    <row r="319" ht="14.25" customHeight="1">
      <c r="A319" s="14">
        <v>43971.0</v>
      </c>
      <c r="B319" s="7" t="s">
        <v>15</v>
      </c>
      <c r="C319" s="7">
        <v>125.0</v>
      </c>
      <c r="D319" s="7">
        <v>21674.0</v>
      </c>
      <c r="E319" s="7">
        <v>20155.0</v>
      </c>
    </row>
    <row r="320" ht="14.25" customHeight="1">
      <c r="A320" s="14">
        <v>43971.0</v>
      </c>
      <c r="B320" s="7" t="s">
        <v>14</v>
      </c>
      <c r="C320" s="7">
        <v>129.0</v>
      </c>
      <c r="D320" s="7">
        <v>17095.0</v>
      </c>
      <c r="E320" s="7">
        <v>15919.0</v>
      </c>
    </row>
    <row r="321" ht="14.25" customHeight="1">
      <c r="A321" s="14">
        <v>43971.0</v>
      </c>
      <c r="B321" s="7" t="s">
        <v>12</v>
      </c>
      <c r="C321" s="7">
        <v>10.0</v>
      </c>
      <c r="D321" s="7">
        <v>745.0</v>
      </c>
      <c r="E321" s="7">
        <v>654.0</v>
      </c>
    </row>
    <row r="322" ht="14.25" customHeight="1">
      <c r="A322" s="14">
        <v>43972.0</v>
      </c>
      <c r="B322" s="7" t="s">
        <v>16</v>
      </c>
      <c r="C322" s="7">
        <v>36.0</v>
      </c>
      <c r="D322" s="7">
        <v>4816.0</v>
      </c>
      <c r="E322" s="7">
        <v>4452.0</v>
      </c>
    </row>
    <row r="323" ht="14.25" customHeight="1">
      <c r="A323" s="14">
        <v>43972.0</v>
      </c>
      <c r="B323" s="7" t="s">
        <v>11</v>
      </c>
      <c r="C323" s="7">
        <v>31.0</v>
      </c>
      <c r="D323" s="7">
        <v>5207.0</v>
      </c>
      <c r="E323" s="7">
        <v>4868.0</v>
      </c>
    </row>
    <row r="324" ht="14.25" customHeight="1">
      <c r="A324" s="14">
        <v>43972.0</v>
      </c>
      <c r="B324" s="7" t="s">
        <v>17</v>
      </c>
      <c r="C324" s="7">
        <v>21.0</v>
      </c>
      <c r="D324" s="7">
        <v>2335.0</v>
      </c>
      <c r="E324" s="7">
        <v>2126.0</v>
      </c>
    </row>
    <row r="325" ht="14.25" customHeight="1">
      <c r="A325" s="14">
        <v>43972.0</v>
      </c>
      <c r="B325" s="7" t="s">
        <v>10</v>
      </c>
      <c r="C325" s="7">
        <v>21.0</v>
      </c>
      <c r="D325" s="7">
        <v>1787.0</v>
      </c>
      <c r="E325" s="7">
        <v>1626.0</v>
      </c>
    </row>
    <row r="326" ht="14.25" customHeight="1">
      <c r="A326" s="14">
        <v>43972.0</v>
      </c>
      <c r="B326" s="7" t="s">
        <v>20</v>
      </c>
      <c r="C326" s="7">
        <v>19.0</v>
      </c>
      <c r="D326" s="7">
        <v>1650.0</v>
      </c>
      <c r="E326" s="7">
        <v>1505.0</v>
      </c>
    </row>
    <row r="327" ht="14.25" customHeight="1">
      <c r="A327" s="14">
        <v>43972.0</v>
      </c>
      <c r="B327" s="7" t="s">
        <v>22</v>
      </c>
      <c r="C327" s="7">
        <v>54.0</v>
      </c>
      <c r="D327" s="7">
        <v>13240.0</v>
      </c>
      <c r="E327" s="7">
        <v>12360.0</v>
      </c>
    </row>
    <row r="328" ht="14.25" customHeight="1">
      <c r="A328" s="14">
        <v>43972.0</v>
      </c>
      <c r="B328" s="7" t="s">
        <v>21</v>
      </c>
      <c r="C328" s="7">
        <v>60.0</v>
      </c>
      <c r="D328" s="7">
        <v>14005.0</v>
      </c>
      <c r="E328" s="7">
        <v>13002.0</v>
      </c>
    </row>
    <row r="329" ht="14.25" customHeight="1">
      <c r="A329" s="14">
        <v>43972.0</v>
      </c>
      <c r="B329" s="7" t="s">
        <v>13</v>
      </c>
      <c r="C329" s="7">
        <v>19.0</v>
      </c>
      <c r="D329" s="7">
        <v>1949.0</v>
      </c>
      <c r="E329" s="7">
        <v>1724.0</v>
      </c>
    </row>
    <row r="330" ht="14.25" customHeight="1">
      <c r="A330" s="14">
        <v>43972.0</v>
      </c>
      <c r="B330" s="7" t="s">
        <v>23</v>
      </c>
      <c r="C330" s="7">
        <v>18.0</v>
      </c>
      <c r="D330" s="7">
        <v>888.0</v>
      </c>
      <c r="E330" s="7">
        <v>786.0</v>
      </c>
    </row>
    <row r="331" ht="14.25" customHeight="1">
      <c r="A331" s="14">
        <v>43972.0</v>
      </c>
      <c r="B331" s="7" t="s">
        <v>18</v>
      </c>
      <c r="C331" s="7">
        <v>17.0</v>
      </c>
      <c r="D331" s="7">
        <v>1045.0</v>
      </c>
      <c r="E331" s="7">
        <v>930.0</v>
      </c>
    </row>
    <row r="332" ht="14.25" customHeight="1">
      <c r="A332" s="14">
        <v>43972.0</v>
      </c>
      <c r="B332" s="7" t="s">
        <v>19</v>
      </c>
      <c r="C332" s="7">
        <v>15.0</v>
      </c>
      <c r="D332" s="7">
        <v>749.0</v>
      </c>
      <c r="E332" s="7">
        <v>652.0</v>
      </c>
    </row>
    <row r="333" ht="14.25" customHeight="1">
      <c r="A333" s="14">
        <v>43972.0</v>
      </c>
      <c r="B333" s="7" t="s">
        <v>15</v>
      </c>
      <c r="C333" s="7">
        <v>125.0</v>
      </c>
      <c r="D333" s="7">
        <v>20911.0</v>
      </c>
      <c r="E333" s="7">
        <v>19358.0</v>
      </c>
    </row>
    <row r="334" ht="14.25" customHeight="1">
      <c r="A334" s="14">
        <v>43972.0</v>
      </c>
      <c r="B334" s="7" t="s">
        <v>14</v>
      </c>
      <c r="C334" s="7">
        <v>129.0</v>
      </c>
      <c r="D334" s="7">
        <v>16373.0</v>
      </c>
      <c r="E334" s="7">
        <v>15223.0</v>
      </c>
    </row>
    <row r="335" ht="14.25" customHeight="1">
      <c r="A335" s="14">
        <v>43972.0</v>
      </c>
      <c r="B335" s="7" t="s">
        <v>12</v>
      </c>
      <c r="C335" s="7">
        <v>10.0</v>
      </c>
      <c r="D335" s="7">
        <v>677.0</v>
      </c>
      <c r="E335" s="7">
        <v>591.0</v>
      </c>
    </row>
    <row r="336" ht="14.25" customHeight="1">
      <c r="A336" s="14">
        <v>43973.0</v>
      </c>
      <c r="B336" s="7" t="s">
        <v>16</v>
      </c>
      <c r="C336" s="7">
        <v>36.0</v>
      </c>
      <c r="D336" s="7">
        <v>4857.0</v>
      </c>
      <c r="E336" s="7">
        <v>4456.0</v>
      </c>
    </row>
    <row r="337" ht="14.25" customHeight="1">
      <c r="A337" s="14">
        <v>43973.0</v>
      </c>
      <c r="B337" s="7" t="s">
        <v>11</v>
      </c>
      <c r="C337" s="7">
        <v>31.0</v>
      </c>
      <c r="D337" s="7">
        <v>5965.0</v>
      </c>
      <c r="E337" s="7">
        <v>5533.0</v>
      </c>
    </row>
    <row r="338" ht="14.25" customHeight="1">
      <c r="A338" s="14">
        <v>43973.0</v>
      </c>
      <c r="B338" s="7" t="s">
        <v>17</v>
      </c>
      <c r="C338" s="7">
        <v>21.0</v>
      </c>
      <c r="D338" s="7">
        <v>2861.0</v>
      </c>
      <c r="E338" s="7">
        <v>2612.0</v>
      </c>
    </row>
    <row r="339" ht="14.25" customHeight="1">
      <c r="A339" s="14">
        <v>43973.0</v>
      </c>
      <c r="B339" s="7" t="s">
        <v>10</v>
      </c>
      <c r="C339" s="7">
        <v>21.0</v>
      </c>
      <c r="D339" s="7">
        <v>2046.0</v>
      </c>
      <c r="E339" s="7">
        <v>1853.0</v>
      </c>
    </row>
    <row r="340" ht="14.25" customHeight="1">
      <c r="A340" s="14">
        <v>43973.0</v>
      </c>
      <c r="B340" s="7" t="s">
        <v>20</v>
      </c>
      <c r="C340" s="7">
        <v>19.0</v>
      </c>
      <c r="D340" s="7">
        <v>1859.0</v>
      </c>
      <c r="E340" s="7">
        <v>1697.0</v>
      </c>
    </row>
    <row r="341" ht="14.25" customHeight="1">
      <c r="A341" s="14">
        <v>43973.0</v>
      </c>
      <c r="B341" s="7" t="s">
        <v>22</v>
      </c>
      <c r="C341" s="7">
        <v>54.0</v>
      </c>
      <c r="D341" s="7">
        <v>13014.0</v>
      </c>
      <c r="E341" s="7">
        <v>12095.0</v>
      </c>
    </row>
    <row r="342" ht="14.25" customHeight="1">
      <c r="A342" s="14">
        <v>43973.0</v>
      </c>
      <c r="B342" s="7" t="s">
        <v>21</v>
      </c>
      <c r="C342" s="7">
        <v>60.0</v>
      </c>
      <c r="D342" s="7">
        <v>14050.0</v>
      </c>
      <c r="E342" s="7">
        <v>13027.0</v>
      </c>
    </row>
    <row r="343" ht="14.25" customHeight="1">
      <c r="A343" s="14">
        <v>43973.0</v>
      </c>
      <c r="B343" s="7" t="s">
        <v>13</v>
      </c>
      <c r="C343" s="7">
        <v>20.0</v>
      </c>
      <c r="D343" s="7">
        <v>2306.0</v>
      </c>
      <c r="E343" s="7">
        <v>2054.0</v>
      </c>
    </row>
    <row r="344" ht="14.25" customHeight="1">
      <c r="A344" s="14">
        <v>43973.0</v>
      </c>
      <c r="B344" s="7" t="s">
        <v>23</v>
      </c>
      <c r="C344" s="7">
        <v>18.0</v>
      </c>
      <c r="D344" s="7">
        <v>985.0</v>
      </c>
      <c r="E344" s="7">
        <v>861.0</v>
      </c>
    </row>
    <row r="345" ht="14.25" customHeight="1">
      <c r="A345" s="14">
        <v>43973.0</v>
      </c>
      <c r="B345" s="7" t="s">
        <v>18</v>
      </c>
      <c r="C345" s="7">
        <v>17.0</v>
      </c>
      <c r="D345" s="7">
        <v>1268.0</v>
      </c>
      <c r="E345" s="7">
        <v>1129.0</v>
      </c>
    </row>
    <row r="346" ht="14.25" customHeight="1">
      <c r="A346" s="14">
        <v>43973.0</v>
      </c>
      <c r="B346" s="7" t="s">
        <v>19</v>
      </c>
      <c r="C346" s="7">
        <v>15.0</v>
      </c>
      <c r="D346" s="7">
        <v>903.0</v>
      </c>
      <c r="E346" s="7">
        <v>792.0</v>
      </c>
    </row>
    <row r="347" ht="14.25" customHeight="1">
      <c r="A347" s="14">
        <v>43973.0</v>
      </c>
      <c r="B347" s="7" t="s">
        <v>15</v>
      </c>
      <c r="C347" s="7">
        <v>125.0</v>
      </c>
      <c r="D347" s="7">
        <v>21427.0</v>
      </c>
      <c r="E347" s="7">
        <v>19799.0</v>
      </c>
    </row>
    <row r="348" ht="14.25" customHeight="1">
      <c r="A348" s="14">
        <v>43973.0</v>
      </c>
      <c r="B348" s="7" t="s">
        <v>14</v>
      </c>
      <c r="C348" s="7">
        <v>129.0</v>
      </c>
      <c r="D348" s="7">
        <v>17088.0</v>
      </c>
      <c r="E348" s="7">
        <v>15804.0</v>
      </c>
    </row>
    <row r="349" ht="14.25" customHeight="1">
      <c r="A349" s="14">
        <v>43973.0</v>
      </c>
      <c r="B349" s="7" t="s">
        <v>12</v>
      </c>
      <c r="C349" s="7">
        <v>10.0</v>
      </c>
      <c r="D349" s="7">
        <v>965.0</v>
      </c>
      <c r="E349" s="7">
        <v>861.0</v>
      </c>
    </row>
    <row r="350" ht="14.25" customHeight="1">
      <c r="A350" s="14">
        <v>43974.0</v>
      </c>
      <c r="B350" s="7" t="s">
        <v>16</v>
      </c>
      <c r="C350" s="7">
        <v>36.0</v>
      </c>
      <c r="D350" s="7">
        <v>5651.0</v>
      </c>
      <c r="E350" s="7">
        <v>5212.0</v>
      </c>
    </row>
    <row r="351" ht="14.25" customHeight="1">
      <c r="A351" s="14">
        <v>43974.0</v>
      </c>
      <c r="B351" s="7" t="s">
        <v>11</v>
      </c>
      <c r="C351" s="7">
        <v>31.0</v>
      </c>
      <c r="D351" s="7">
        <v>6276.0</v>
      </c>
      <c r="E351" s="7">
        <v>5801.0</v>
      </c>
    </row>
    <row r="352" ht="14.25" customHeight="1">
      <c r="A352" s="14">
        <v>43974.0</v>
      </c>
      <c r="B352" s="7" t="s">
        <v>17</v>
      </c>
      <c r="C352" s="7">
        <v>21.0</v>
      </c>
      <c r="D352" s="7">
        <v>2460.0</v>
      </c>
      <c r="E352" s="7">
        <v>2226.0</v>
      </c>
    </row>
    <row r="353" ht="14.25" customHeight="1">
      <c r="A353" s="14">
        <v>43974.0</v>
      </c>
      <c r="B353" s="7" t="s">
        <v>10</v>
      </c>
      <c r="C353" s="7">
        <v>21.0</v>
      </c>
      <c r="D353" s="7">
        <v>2340.0</v>
      </c>
      <c r="E353" s="7">
        <v>2146.0</v>
      </c>
    </row>
    <row r="354" ht="14.25" customHeight="1">
      <c r="A354" s="14">
        <v>43974.0</v>
      </c>
      <c r="B354" s="7" t="s">
        <v>20</v>
      </c>
      <c r="C354" s="7">
        <v>19.0</v>
      </c>
      <c r="D354" s="7">
        <v>2195.0</v>
      </c>
      <c r="E354" s="7">
        <v>1999.0</v>
      </c>
    </row>
    <row r="355" ht="14.25" customHeight="1">
      <c r="A355" s="14">
        <v>43974.0</v>
      </c>
      <c r="B355" s="7" t="s">
        <v>22</v>
      </c>
      <c r="C355" s="7">
        <v>54.0</v>
      </c>
      <c r="D355" s="7">
        <v>16221.0</v>
      </c>
      <c r="E355" s="7">
        <v>15065.0</v>
      </c>
    </row>
    <row r="356" ht="14.25" customHeight="1">
      <c r="A356" s="14">
        <v>43974.0</v>
      </c>
      <c r="B356" s="7" t="s">
        <v>21</v>
      </c>
      <c r="C356" s="7">
        <v>60.0</v>
      </c>
      <c r="D356" s="7">
        <v>17295.0</v>
      </c>
      <c r="E356" s="7">
        <v>16010.0</v>
      </c>
    </row>
    <row r="357" ht="14.25" customHeight="1">
      <c r="A357" s="14">
        <v>43974.0</v>
      </c>
      <c r="B357" s="7" t="s">
        <v>13</v>
      </c>
      <c r="C357" s="7">
        <v>20.0</v>
      </c>
      <c r="D357" s="7">
        <v>2266.0</v>
      </c>
      <c r="E357" s="7">
        <v>1993.0</v>
      </c>
    </row>
    <row r="358" ht="14.25" customHeight="1">
      <c r="A358" s="14">
        <v>43974.0</v>
      </c>
      <c r="B358" s="7" t="s">
        <v>23</v>
      </c>
      <c r="C358" s="7">
        <v>18.0</v>
      </c>
      <c r="D358" s="7">
        <v>1031.0</v>
      </c>
      <c r="E358" s="7">
        <v>918.0</v>
      </c>
    </row>
    <row r="359" ht="14.25" customHeight="1">
      <c r="A359" s="14">
        <v>43974.0</v>
      </c>
      <c r="B359" s="7" t="s">
        <v>18</v>
      </c>
      <c r="C359" s="7">
        <v>17.0</v>
      </c>
      <c r="D359" s="7">
        <v>1294.0</v>
      </c>
      <c r="E359" s="7">
        <v>1155.0</v>
      </c>
    </row>
    <row r="360" ht="14.25" customHeight="1">
      <c r="A360" s="14">
        <v>43974.0</v>
      </c>
      <c r="B360" s="7" t="s">
        <v>19</v>
      </c>
      <c r="C360" s="7">
        <v>15.0</v>
      </c>
      <c r="D360" s="7">
        <v>840.0</v>
      </c>
      <c r="E360" s="7">
        <v>725.0</v>
      </c>
    </row>
    <row r="361" ht="14.25" customHeight="1">
      <c r="A361" s="14">
        <v>43974.0</v>
      </c>
      <c r="B361" s="7" t="s">
        <v>15</v>
      </c>
      <c r="C361" s="7">
        <v>125.0</v>
      </c>
      <c r="D361" s="7">
        <v>24574.0</v>
      </c>
      <c r="E361" s="7">
        <v>22609.0</v>
      </c>
    </row>
    <row r="362" ht="14.25" customHeight="1">
      <c r="A362" s="14">
        <v>43974.0</v>
      </c>
      <c r="B362" s="7" t="s">
        <v>14</v>
      </c>
      <c r="C362" s="7">
        <v>129.0</v>
      </c>
      <c r="D362" s="7">
        <v>19856.0</v>
      </c>
      <c r="E362" s="7">
        <v>18325.0</v>
      </c>
    </row>
    <row r="363" ht="14.25" customHeight="1">
      <c r="A363" s="14">
        <v>43974.0</v>
      </c>
      <c r="B363" s="7" t="s">
        <v>12</v>
      </c>
      <c r="C363" s="7">
        <v>10.0</v>
      </c>
      <c r="D363" s="7">
        <v>828.0</v>
      </c>
      <c r="E363" s="7">
        <v>734.0</v>
      </c>
    </row>
    <row r="364" ht="14.25" customHeight="1">
      <c r="A364" s="14">
        <v>43975.0</v>
      </c>
      <c r="B364" s="7" t="s">
        <v>16</v>
      </c>
      <c r="C364" s="7">
        <v>36.0</v>
      </c>
      <c r="D364" s="7">
        <v>4915.0</v>
      </c>
      <c r="E364" s="7">
        <v>4562.0</v>
      </c>
    </row>
    <row r="365" ht="14.25" customHeight="1">
      <c r="A365" s="14">
        <v>43975.0</v>
      </c>
      <c r="B365" s="7" t="s">
        <v>11</v>
      </c>
      <c r="C365" s="7">
        <v>31.0</v>
      </c>
      <c r="D365" s="7">
        <v>5035.0</v>
      </c>
      <c r="E365" s="7">
        <v>4683.0</v>
      </c>
    </row>
    <row r="366" ht="14.25" customHeight="1">
      <c r="A366" s="14">
        <v>43975.0</v>
      </c>
      <c r="B366" s="7" t="s">
        <v>17</v>
      </c>
      <c r="C366" s="7">
        <v>21.0</v>
      </c>
      <c r="D366" s="7">
        <v>2254.0</v>
      </c>
      <c r="E366" s="7">
        <v>2061.0</v>
      </c>
    </row>
    <row r="367" ht="14.25" customHeight="1">
      <c r="A367" s="14">
        <v>43975.0</v>
      </c>
      <c r="B367" s="7" t="s">
        <v>10</v>
      </c>
      <c r="C367" s="7">
        <v>20.0</v>
      </c>
      <c r="D367" s="7">
        <v>1999.0</v>
      </c>
      <c r="E367" s="7">
        <v>1829.0</v>
      </c>
    </row>
    <row r="368" ht="14.25" customHeight="1">
      <c r="A368" s="14">
        <v>43975.0</v>
      </c>
      <c r="B368" s="7" t="s">
        <v>20</v>
      </c>
      <c r="C368" s="7">
        <v>19.0</v>
      </c>
      <c r="D368" s="7">
        <v>1868.0</v>
      </c>
      <c r="E368" s="7">
        <v>1706.0</v>
      </c>
    </row>
    <row r="369" ht="14.25" customHeight="1">
      <c r="A369" s="14">
        <v>43975.0</v>
      </c>
      <c r="B369" s="7" t="s">
        <v>22</v>
      </c>
      <c r="C369" s="7">
        <v>54.0</v>
      </c>
      <c r="D369" s="7">
        <v>12211.0</v>
      </c>
      <c r="E369" s="7">
        <v>11427.0</v>
      </c>
    </row>
    <row r="370" ht="14.25" customHeight="1">
      <c r="A370" s="14">
        <v>43975.0</v>
      </c>
      <c r="B370" s="7" t="s">
        <v>21</v>
      </c>
      <c r="C370" s="7">
        <v>60.0</v>
      </c>
      <c r="D370" s="7">
        <v>12822.0</v>
      </c>
      <c r="E370" s="7">
        <v>11916.0</v>
      </c>
    </row>
    <row r="371" ht="14.25" customHeight="1">
      <c r="A371" s="14">
        <v>43975.0</v>
      </c>
      <c r="B371" s="7" t="s">
        <v>13</v>
      </c>
      <c r="C371" s="7">
        <v>20.0</v>
      </c>
      <c r="D371" s="7">
        <v>2015.0</v>
      </c>
      <c r="E371" s="7">
        <v>1803.0</v>
      </c>
    </row>
    <row r="372" ht="14.25" customHeight="1">
      <c r="A372" s="14">
        <v>43975.0</v>
      </c>
      <c r="B372" s="7" t="s">
        <v>23</v>
      </c>
      <c r="C372" s="7">
        <v>18.0</v>
      </c>
      <c r="D372" s="7">
        <v>1006.0</v>
      </c>
      <c r="E372" s="7">
        <v>904.0</v>
      </c>
    </row>
    <row r="373" ht="14.25" customHeight="1">
      <c r="A373" s="14">
        <v>43975.0</v>
      </c>
      <c r="B373" s="7" t="s">
        <v>18</v>
      </c>
      <c r="C373" s="7">
        <v>17.0</v>
      </c>
      <c r="D373" s="7">
        <v>1128.0</v>
      </c>
      <c r="E373" s="7">
        <v>1001.0</v>
      </c>
    </row>
    <row r="374" ht="14.25" customHeight="1">
      <c r="A374" s="14">
        <v>43975.0</v>
      </c>
      <c r="B374" s="7" t="s">
        <v>19</v>
      </c>
      <c r="C374" s="7">
        <v>15.0</v>
      </c>
      <c r="D374" s="7">
        <v>779.0</v>
      </c>
      <c r="E374" s="7">
        <v>673.0</v>
      </c>
    </row>
    <row r="375" ht="14.25" customHeight="1">
      <c r="A375" s="14">
        <v>43975.0</v>
      </c>
      <c r="B375" s="7" t="s">
        <v>15</v>
      </c>
      <c r="C375" s="7">
        <v>125.0</v>
      </c>
      <c r="D375" s="7">
        <v>21004.0</v>
      </c>
      <c r="E375" s="7">
        <v>19556.0</v>
      </c>
    </row>
    <row r="376" ht="14.25" customHeight="1">
      <c r="A376" s="14">
        <v>43975.0</v>
      </c>
      <c r="B376" s="7" t="s">
        <v>14</v>
      </c>
      <c r="C376" s="7">
        <v>129.0</v>
      </c>
      <c r="D376" s="7">
        <v>16432.0</v>
      </c>
      <c r="E376" s="7">
        <v>15345.0</v>
      </c>
    </row>
    <row r="377" ht="14.25" customHeight="1">
      <c r="A377" s="14">
        <v>43975.0</v>
      </c>
      <c r="B377" s="7" t="s">
        <v>12</v>
      </c>
      <c r="C377" s="7">
        <v>10.0</v>
      </c>
      <c r="D377" s="7">
        <v>639.0</v>
      </c>
      <c r="E377" s="7">
        <v>557.0</v>
      </c>
    </row>
    <row r="378" ht="14.25" customHeight="1">
      <c r="A378" s="14">
        <v>43976.0</v>
      </c>
      <c r="B378" s="7" t="s">
        <v>16</v>
      </c>
      <c r="C378" s="7">
        <v>36.0</v>
      </c>
      <c r="D378" s="7">
        <v>4641.0</v>
      </c>
      <c r="E378" s="7">
        <v>4274.0</v>
      </c>
    </row>
    <row r="379" ht="14.25" customHeight="1">
      <c r="A379" s="14">
        <v>43976.0</v>
      </c>
      <c r="B379" s="7" t="s">
        <v>11</v>
      </c>
      <c r="C379" s="7">
        <v>31.0</v>
      </c>
      <c r="D379" s="7">
        <v>5210.0</v>
      </c>
      <c r="E379" s="7">
        <v>4841.0</v>
      </c>
    </row>
    <row r="380" ht="14.25" customHeight="1">
      <c r="A380" s="14">
        <v>43976.0</v>
      </c>
      <c r="B380" s="7" t="s">
        <v>17</v>
      </c>
      <c r="C380" s="7">
        <v>21.0</v>
      </c>
      <c r="D380" s="7">
        <v>2330.0</v>
      </c>
      <c r="E380" s="7">
        <v>2142.0</v>
      </c>
    </row>
    <row r="381" ht="14.25" customHeight="1">
      <c r="A381" s="14">
        <v>43976.0</v>
      </c>
      <c r="B381" s="7" t="s">
        <v>10</v>
      </c>
      <c r="C381" s="7">
        <v>20.0</v>
      </c>
      <c r="D381" s="7">
        <v>2087.0</v>
      </c>
      <c r="E381" s="7">
        <v>1914.0</v>
      </c>
    </row>
    <row r="382" ht="14.25" customHeight="1">
      <c r="A382" s="14">
        <v>43976.0</v>
      </c>
      <c r="B382" s="7" t="s">
        <v>20</v>
      </c>
      <c r="C382" s="7">
        <v>20.0</v>
      </c>
      <c r="D382" s="7">
        <v>1899.0</v>
      </c>
      <c r="E382" s="7">
        <v>1738.0</v>
      </c>
    </row>
    <row r="383" ht="14.25" customHeight="1">
      <c r="A383" s="14">
        <v>43976.0</v>
      </c>
      <c r="B383" s="7" t="s">
        <v>22</v>
      </c>
      <c r="C383" s="7">
        <v>54.0</v>
      </c>
      <c r="D383" s="7">
        <v>12336.0</v>
      </c>
      <c r="E383" s="7">
        <v>11519.0</v>
      </c>
    </row>
    <row r="384" ht="14.25" customHeight="1">
      <c r="A384" s="14">
        <v>43976.0</v>
      </c>
      <c r="B384" s="7" t="s">
        <v>21</v>
      </c>
      <c r="C384" s="7">
        <v>59.0</v>
      </c>
      <c r="D384" s="7">
        <v>12983.0</v>
      </c>
      <c r="E384" s="7">
        <v>12056.0</v>
      </c>
    </row>
    <row r="385" ht="14.25" customHeight="1">
      <c r="A385" s="14">
        <v>43976.0</v>
      </c>
      <c r="B385" s="7" t="s">
        <v>13</v>
      </c>
      <c r="C385" s="7">
        <v>20.0</v>
      </c>
      <c r="D385" s="7">
        <v>2011.0</v>
      </c>
      <c r="E385" s="7">
        <v>1791.0</v>
      </c>
    </row>
    <row r="386" ht="14.25" customHeight="1">
      <c r="A386" s="14">
        <v>43976.0</v>
      </c>
      <c r="B386" s="7" t="s">
        <v>23</v>
      </c>
      <c r="C386" s="7">
        <v>18.0</v>
      </c>
      <c r="D386" s="7">
        <v>989.0</v>
      </c>
      <c r="E386" s="7">
        <v>887.0</v>
      </c>
    </row>
    <row r="387" ht="14.25" customHeight="1">
      <c r="A387" s="14">
        <v>43976.0</v>
      </c>
      <c r="B387" s="7" t="s">
        <v>18</v>
      </c>
      <c r="C387" s="7">
        <v>17.0</v>
      </c>
      <c r="D387" s="7">
        <v>1142.0</v>
      </c>
      <c r="E387" s="7">
        <v>1020.0</v>
      </c>
    </row>
    <row r="388" ht="14.25" customHeight="1">
      <c r="A388" s="14">
        <v>43976.0</v>
      </c>
      <c r="B388" s="7" t="s">
        <v>19</v>
      </c>
      <c r="C388" s="7">
        <v>15.0</v>
      </c>
      <c r="D388" s="7">
        <v>835.0</v>
      </c>
      <c r="E388" s="7">
        <v>736.0</v>
      </c>
    </row>
    <row r="389" ht="14.25" customHeight="1">
      <c r="A389" s="14">
        <v>43976.0</v>
      </c>
      <c r="B389" s="7" t="s">
        <v>15</v>
      </c>
      <c r="C389" s="7">
        <v>124.0</v>
      </c>
      <c r="D389" s="7">
        <v>20358.0</v>
      </c>
      <c r="E389" s="7">
        <v>18890.0</v>
      </c>
    </row>
    <row r="390" ht="14.25" customHeight="1">
      <c r="A390" s="14">
        <v>43976.0</v>
      </c>
      <c r="B390" s="7" t="s">
        <v>14</v>
      </c>
      <c r="C390" s="7">
        <v>129.0</v>
      </c>
      <c r="D390" s="7">
        <v>15822.0</v>
      </c>
      <c r="E390" s="7">
        <v>14753.0</v>
      </c>
    </row>
    <row r="391" ht="14.25" customHeight="1">
      <c r="A391" s="14">
        <v>43976.0</v>
      </c>
      <c r="B391" s="7" t="s">
        <v>12</v>
      </c>
      <c r="C391" s="7">
        <v>10.0</v>
      </c>
      <c r="D391" s="7">
        <v>739.0</v>
      </c>
      <c r="E391" s="7">
        <v>642.0</v>
      </c>
    </row>
    <row r="392" ht="14.25" customHeight="1">
      <c r="A392" s="14">
        <v>43977.0</v>
      </c>
      <c r="B392" s="7" t="s">
        <v>16</v>
      </c>
      <c r="C392" s="7">
        <v>36.0</v>
      </c>
      <c r="D392" s="7">
        <v>4770.0</v>
      </c>
      <c r="E392" s="7">
        <v>4424.0</v>
      </c>
    </row>
    <row r="393" ht="14.25" customHeight="1">
      <c r="A393" s="14">
        <v>43977.0</v>
      </c>
      <c r="B393" s="7" t="s">
        <v>11</v>
      </c>
      <c r="C393" s="7">
        <v>31.0</v>
      </c>
      <c r="D393" s="7">
        <v>5493.0</v>
      </c>
      <c r="E393" s="7">
        <v>5119.0</v>
      </c>
    </row>
    <row r="394" ht="14.25" customHeight="1">
      <c r="A394" s="14">
        <v>43977.0</v>
      </c>
      <c r="B394" s="7" t="s">
        <v>17</v>
      </c>
      <c r="C394" s="7">
        <v>21.0</v>
      </c>
      <c r="D394" s="7">
        <v>2418.0</v>
      </c>
      <c r="E394" s="7">
        <v>2215.0</v>
      </c>
    </row>
    <row r="395" ht="14.25" customHeight="1">
      <c r="A395" s="14">
        <v>43977.0</v>
      </c>
      <c r="B395" s="7" t="s">
        <v>10</v>
      </c>
      <c r="C395" s="7">
        <v>20.0</v>
      </c>
      <c r="D395" s="7">
        <v>2044.0</v>
      </c>
      <c r="E395" s="7">
        <v>1863.0</v>
      </c>
    </row>
    <row r="396" ht="14.25" customHeight="1">
      <c r="A396" s="14">
        <v>43977.0</v>
      </c>
      <c r="B396" s="7" t="s">
        <v>20</v>
      </c>
      <c r="C396" s="7">
        <v>20.0</v>
      </c>
      <c r="D396" s="7">
        <v>1814.0</v>
      </c>
      <c r="E396" s="7">
        <v>1655.0</v>
      </c>
    </row>
    <row r="397" ht="14.25" customHeight="1">
      <c r="A397" s="14">
        <v>43977.0</v>
      </c>
      <c r="B397" s="7" t="s">
        <v>22</v>
      </c>
      <c r="C397" s="7">
        <v>54.0</v>
      </c>
      <c r="D397" s="7">
        <v>14482.0</v>
      </c>
      <c r="E397" s="7">
        <v>13510.0</v>
      </c>
    </row>
    <row r="398" ht="14.25" customHeight="1">
      <c r="A398" s="14">
        <v>43977.0</v>
      </c>
      <c r="B398" s="7" t="s">
        <v>21</v>
      </c>
      <c r="C398" s="7">
        <v>59.0</v>
      </c>
      <c r="D398" s="7">
        <v>15369.0</v>
      </c>
      <c r="E398" s="7">
        <v>14299.0</v>
      </c>
    </row>
    <row r="399" ht="14.25" customHeight="1">
      <c r="A399" s="14">
        <v>43977.0</v>
      </c>
      <c r="B399" s="7" t="s">
        <v>13</v>
      </c>
      <c r="C399" s="7">
        <v>20.0</v>
      </c>
      <c r="D399" s="7">
        <v>2036.0</v>
      </c>
      <c r="E399" s="7">
        <v>1790.0</v>
      </c>
    </row>
    <row r="400" ht="14.25" customHeight="1">
      <c r="A400" s="14">
        <v>43977.0</v>
      </c>
      <c r="B400" s="7" t="s">
        <v>23</v>
      </c>
      <c r="C400" s="7">
        <v>18.0</v>
      </c>
      <c r="D400" s="7">
        <v>914.0</v>
      </c>
      <c r="E400" s="7">
        <v>804.0</v>
      </c>
    </row>
    <row r="401" ht="14.25" customHeight="1">
      <c r="A401" s="14">
        <v>43977.0</v>
      </c>
      <c r="B401" s="7" t="s">
        <v>18</v>
      </c>
      <c r="C401" s="7">
        <v>17.0</v>
      </c>
      <c r="D401" s="7">
        <v>1140.0</v>
      </c>
      <c r="E401" s="7">
        <v>1016.0</v>
      </c>
    </row>
    <row r="402" ht="14.25" customHeight="1">
      <c r="A402" s="14">
        <v>43977.0</v>
      </c>
      <c r="B402" s="7" t="s">
        <v>19</v>
      </c>
      <c r="C402" s="7">
        <v>15.0</v>
      </c>
      <c r="D402" s="7">
        <v>812.0</v>
      </c>
      <c r="E402" s="7">
        <v>711.0</v>
      </c>
    </row>
    <row r="403" ht="14.25" customHeight="1">
      <c r="A403" s="14">
        <v>43977.0</v>
      </c>
      <c r="B403" s="7" t="s">
        <v>15</v>
      </c>
      <c r="C403" s="7">
        <v>124.0</v>
      </c>
      <c r="D403" s="7">
        <v>21153.0</v>
      </c>
      <c r="E403" s="7">
        <v>19673.0</v>
      </c>
    </row>
    <row r="404" ht="14.25" customHeight="1">
      <c r="A404" s="14">
        <v>43977.0</v>
      </c>
      <c r="B404" s="7" t="s">
        <v>14</v>
      </c>
      <c r="C404" s="7">
        <v>129.0</v>
      </c>
      <c r="D404" s="7">
        <v>16459.0</v>
      </c>
      <c r="E404" s="7">
        <v>15355.0</v>
      </c>
    </row>
    <row r="405" ht="14.25" customHeight="1">
      <c r="A405" s="14">
        <v>43977.0</v>
      </c>
      <c r="B405" s="7" t="s">
        <v>12</v>
      </c>
      <c r="C405" s="7">
        <v>10.0</v>
      </c>
      <c r="D405" s="7">
        <v>692.0</v>
      </c>
      <c r="E405" s="7">
        <v>601.0</v>
      </c>
    </row>
    <row r="406" ht="14.25" customHeight="1">
      <c r="A406" s="14">
        <v>43977.0</v>
      </c>
      <c r="B406" s="7" t="s">
        <v>24</v>
      </c>
      <c r="C406" s="7">
        <v>7.0</v>
      </c>
      <c r="D406" s="7">
        <v>577.0</v>
      </c>
      <c r="E406" s="7">
        <v>389.0</v>
      </c>
    </row>
    <row r="407" ht="14.25" customHeight="1">
      <c r="A407" s="14">
        <v>43978.0</v>
      </c>
      <c r="B407" s="7" t="s">
        <v>16</v>
      </c>
      <c r="C407" s="7">
        <v>36.0</v>
      </c>
      <c r="D407" s="7">
        <v>4951.0</v>
      </c>
      <c r="E407" s="7">
        <v>4584.0</v>
      </c>
    </row>
    <row r="408" ht="14.25" customHeight="1">
      <c r="A408" s="14">
        <v>43978.0</v>
      </c>
      <c r="B408" s="7" t="s">
        <v>11</v>
      </c>
      <c r="C408" s="7">
        <v>31.0</v>
      </c>
      <c r="D408" s="7">
        <v>5330.0</v>
      </c>
      <c r="E408" s="7">
        <v>4977.0</v>
      </c>
    </row>
    <row r="409" ht="14.25" customHeight="1">
      <c r="A409" s="14">
        <v>43978.0</v>
      </c>
      <c r="B409" s="7" t="s">
        <v>17</v>
      </c>
      <c r="C409" s="7">
        <v>21.0</v>
      </c>
      <c r="D409" s="7">
        <v>2430.0</v>
      </c>
      <c r="E409" s="7">
        <v>2216.0</v>
      </c>
    </row>
    <row r="410" ht="14.25" customHeight="1">
      <c r="A410" s="14">
        <v>43978.0</v>
      </c>
      <c r="B410" s="7" t="s">
        <v>10</v>
      </c>
      <c r="C410" s="7">
        <v>20.0</v>
      </c>
      <c r="D410" s="7">
        <v>2079.0</v>
      </c>
      <c r="E410" s="7">
        <v>1893.0</v>
      </c>
    </row>
    <row r="411" ht="14.25" customHeight="1">
      <c r="A411" s="14">
        <v>43978.0</v>
      </c>
      <c r="B411" s="7" t="s">
        <v>20</v>
      </c>
      <c r="C411" s="7">
        <v>20.0</v>
      </c>
      <c r="D411" s="7">
        <v>1873.0</v>
      </c>
      <c r="E411" s="7">
        <v>1715.0</v>
      </c>
    </row>
    <row r="412" ht="14.25" customHeight="1">
      <c r="A412" s="14">
        <v>43978.0</v>
      </c>
      <c r="B412" s="7" t="s">
        <v>22</v>
      </c>
      <c r="C412" s="7">
        <v>54.0</v>
      </c>
      <c r="D412" s="7">
        <v>13091.0</v>
      </c>
      <c r="E412" s="7">
        <v>12216.0</v>
      </c>
    </row>
    <row r="413" ht="14.25" customHeight="1">
      <c r="A413" s="14">
        <v>43978.0</v>
      </c>
      <c r="B413" s="7" t="s">
        <v>21</v>
      </c>
      <c r="C413" s="7">
        <v>59.0</v>
      </c>
      <c r="D413" s="7">
        <v>13942.0</v>
      </c>
      <c r="E413" s="7">
        <v>12986.0</v>
      </c>
    </row>
    <row r="414" ht="14.25" customHeight="1">
      <c r="A414" s="14">
        <v>43978.0</v>
      </c>
      <c r="B414" s="7" t="s">
        <v>13</v>
      </c>
      <c r="C414" s="7">
        <v>20.0</v>
      </c>
      <c r="D414" s="7">
        <v>2079.0</v>
      </c>
      <c r="E414" s="7">
        <v>1856.0</v>
      </c>
    </row>
    <row r="415" ht="14.25" customHeight="1">
      <c r="A415" s="14">
        <v>43978.0</v>
      </c>
      <c r="B415" s="7" t="s">
        <v>23</v>
      </c>
      <c r="C415" s="7">
        <v>18.0</v>
      </c>
      <c r="D415" s="7">
        <v>962.0</v>
      </c>
      <c r="E415" s="7">
        <v>859.0</v>
      </c>
    </row>
    <row r="416" ht="14.25" customHeight="1">
      <c r="A416" s="14">
        <v>43978.0</v>
      </c>
      <c r="B416" s="7" t="s">
        <v>18</v>
      </c>
      <c r="C416" s="7">
        <v>17.0</v>
      </c>
      <c r="D416" s="7">
        <v>1203.0</v>
      </c>
      <c r="E416" s="7">
        <v>1077.0</v>
      </c>
    </row>
    <row r="417" ht="14.25" customHeight="1">
      <c r="A417" s="14">
        <v>43978.0</v>
      </c>
      <c r="B417" s="7" t="s">
        <v>19</v>
      </c>
      <c r="C417" s="7">
        <v>15.0</v>
      </c>
      <c r="D417" s="7">
        <v>809.0</v>
      </c>
      <c r="E417" s="7">
        <v>702.0</v>
      </c>
    </row>
    <row r="418" ht="14.25" customHeight="1">
      <c r="A418" s="14">
        <v>43978.0</v>
      </c>
      <c r="B418" s="7" t="s">
        <v>15</v>
      </c>
      <c r="C418" s="7">
        <v>124.0</v>
      </c>
      <c r="D418" s="7">
        <v>21384.0</v>
      </c>
      <c r="E418" s="7">
        <v>19897.0</v>
      </c>
    </row>
    <row r="419" ht="14.25" customHeight="1">
      <c r="A419" s="14">
        <v>43978.0</v>
      </c>
      <c r="B419" s="7" t="s">
        <v>14</v>
      </c>
      <c r="C419" s="7">
        <v>129.0</v>
      </c>
      <c r="D419" s="7">
        <v>17115.0</v>
      </c>
      <c r="E419" s="7">
        <v>15962.0</v>
      </c>
    </row>
    <row r="420" ht="14.25" customHeight="1">
      <c r="A420" s="14">
        <v>43978.0</v>
      </c>
      <c r="B420" s="7" t="s">
        <v>12</v>
      </c>
      <c r="C420" s="7">
        <v>10.0</v>
      </c>
      <c r="D420" s="7">
        <v>757.0</v>
      </c>
      <c r="E420" s="7">
        <v>660.0</v>
      </c>
    </row>
    <row r="421" ht="14.25" customHeight="1">
      <c r="A421" s="14">
        <v>43978.0</v>
      </c>
      <c r="B421" s="7" t="s">
        <v>24</v>
      </c>
      <c r="C421" s="7">
        <v>7.0</v>
      </c>
      <c r="D421" s="7">
        <v>409.0</v>
      </c>
      <c r="E421" s="7">
        <v>329.0</v>
      </c>
    </row>
    <row r="422" ht="14.25" customHeight="1">
      <c r="A422" s="14">
        <v>43979.0</v>
      </c>
      <c r="B422" s="7" t="s">
        <v>16</v>
      </c>
      <c r="C422" s="7">
        <v>37.0</v>
      </c>
      <c r="D422" s="7">
        <v>4840.0</v>
      </c>
      <c r="E422" s="7">
        <v>4475.0</v>
      </c>
    </row>
    <row r="423" ht="14.25" customHeight="1">
      <c r="A423" s="14">
        <v>43979.0</v>
      </c>
      <c r="B423" s="7" t="s">
        <v>11</v>
      </c>
      <c r="C423" s="7">
        <v>31.0</v>
      </c>
      <c r="D423" s="7">
        <v>5355.0</v>
      </c>
      <c r="E423" s="7">
        <v>4969.0</v>
      </c>
    </row>
    <row r="424" ht="14.25" customHeight="1">
      <c r="A424" s="14">
        <v>43979.0</v>
      </c>
      <c r="B424" s="7" t="s">
        <v>17</v>
      </c>
      <c r="C424" s="7">
        <v>22.0</v>
      </c>
      <c r="D424" s="7">
        <v>2454.0</v>
      </c>
      <c r="E424" s="7">
        <v>2239.0</v>
      </c>
    </row>
    <row r="425" ht="14.25" customHeight="1">
      <c r="A425" s="14">
        <v>43979.0</v>
      </c>
      <c r="B425" s="7" t="s">
        <v>10</v>
      </c>
      <c r="C425" s="7">
        <v>20.0</v>
      </c>
      <c r="D425" s="7">
        <v>1886.0</v>
      </c>
      <c r="E425" s="7">
        <v>1736.0</v>
      </c>
    </row>
    <row r="426" ht="14.25" customHeight="1">
      <c r="A426" s="14">
        <v>43979.0</v>
      </c>
      <c r="B426" s="7" t="s">
        <v>20</v>
      </c>
      <c r="C426" s="7">
        <v>20.0</v>
      </c>
      <c r="D426" s="7">
        <v>1875.0</v>
      </c>
      <c r="E426" s="7">
        <v>1701.0</v>
      </c>
    </row>
    <row r="427" ht="14.25" customHeight="1">
      <c r="A427" s="14">
        <v>43979.0</v>
      </c>
      <c r="B427" s="7" t="s">
        <v>22</v>
      </c>
      <c r="C427" s="7">
        <v>54.0</v>
      </c>
      <c r="D427" s="7">
        <v>12409.0</v>
      </c>
      <c r="E427" s="7">
        <v>11582.0</v>
      </c>
    </row>
    <row r="428" ht="14.25" customHeight="1">
      <c r="A428" s="14">
        <v>43979.0</v>
      </c>
      <c r="B428" s="7" t="s">
        <v>21</v>
      </c>
      <c r="C428" s="7">
        <v>60.0</v>
      </c>
      <c r="D428" s="7">
        <v>12854.0</v>
      </c>
      <c r="E428" s="7">
        <v>11954.0</v>
      </c>
    </row>
    <row r="429" ht="14.25" customHeight="1">
      <c r="A429" s="14">
        <v>43979.0</v>
      </c>
      <c r="B429" s="7" t="s">
        <v>13</v>
      </c>
      <c r="C429" s="7">
        <v>20.0</v>
      </c>
      <c r="D429" s="7">
        <v>2088.0</v>
      </c>
      <c r="E429" s="7">
        <v>1848.0</v>
      </c>
    </row>
    <row r="430" ht="14.25" customHeight="1">
      <c r="A430" s="14">
        <v>43979.0</v>
      </c>
      <c r="B430" s="7" t="s">
        <v>23</v>
      </c>
      <c r="C430" s="7">
        <v>18.0</v>
      </c>
      <c r="D430" s="7">
        <v>1020.0</v>
      </c>
      <c r="E430" s="7">
        <v>911.0</v>
      </c>
    </row>
    <row r="431" ht="14.25" customHeight="1">
      <c r="A431" s="14">
        <v>43979.0</v>
      </c>
      <c r="B431" s="7" t="s">
        <v>18</v>
      </c>
      <c r="C431" s="7">
        <v>17.0</v>
      </c>
      <c r="D431" s="7">
        <v>1097.0</v>
      </c>
      <c r="E431" s="7">
        <v>968.0</v>
      </c>
    </row>
    <row r="432" ht="14.25" customHeight="1">
      <c r="A432" s="14">
        <v>43979.0</v>
      </c>
      <c r="B432" s="7" t="s">
        <v>19</v>
      </c>
      <c r="C432" s="7">
        <v>16.0</v>
      </c>
      <c r="D432" s="7">
        <v>876.0</v>
      </c>
      <c r="E432" s="7">
        <v>762.0</v>
      </c>
    </row>
    <row r="433" ht="14.25" customHeight="1">
      <c r="A433" s="14">
        <v>43979.0</v>
      </c>
      <c r="B433" s="7" t="s">
        <v>9</v>
      </c>
      <c r="C433" s="7">
        <v>15.0</v>
      </c>
      <c r="D433" s="7">
        <v>464.0</v>
      </c>
      <c r="E433" s="7">
        <v>390.0</v>
      </c>
    </row>
    <row r="434" ht="14.25" customHeight="1">
      <c r="A434" s="14">
        <v>43979.0</v>
      </c>
      <c r="B434" s="7" t="s">
        <v>15</v>
      </c>
      <c r="C434" s="7">
        <v>124.0</v>
      </c>
      <c r="D434" s="7">
        <v>20868.0</v>
      </c>
      <c r="E434" s="7">
        <v>19342.0</v>
      </c>
    </row>
    <row r="435" ht="14.25" customHeight="1">
      <c r="A435" s="14">
        <v>43979.0</v>
      </c>
      <c r="B435" s="7" t="s">
        <v>14</v>
      </c>
      <c r="C435" s="7">
        <v>129.0</v>
      </c>
      <c r="D435" s="7">
        <v>16453.0</v>
      </c>
      <c r="E435" s="7">
        <v>15289.0</v>
      </c>
    </row>
    <row r="436" ht="14.25" customHeight="1">
      <c r="A436" s="14">
        <v>43979.0</v>
      </c>
      <c r="B436" s="7" t="s">
        <v>12</v>
      </c>
      <c r="C436" s="7">
        <v>10.0</v>
      </c>
      <c r="D436" s="7">
        <v>791.0</v>
      </c>
      <c r="E436" s="7">
        <v>697.0</v>
      </c>
    </row>
    <row r="437" ht="14.25" customHeight="1">
      <c r="A437" s="14">
        <v>43979.0</v>
      </c>
      <c r="B437" s="7" t="s">
        <v>24</v>
      </c>
      <c r="C437" s="7">
        <v>7.0</v>
      </c>
      <c r="D437" s="7">
        <v>420.0</v>
      </c>
      <c r="E437" s="7">
        <v>347.0</v>
      </c>
    </row>
    <row r="438" ht="14.25" customHeight="1">
      <c r="A438" s="14">
        <v>43980.0</v>
      </c>
      <c r="B438" s="7" t="s">
        <v>16</v>
      </c>
      <c r="C438" s="7">
        <v>37.0</v>
      </c>
      <c r="D438" s="7">
        <v>5672.0</v>
      </c>
      <c r="E438" s="7">
        <v>5198.0</v>
      </c>
    </row>
    <row r="439" ht="14.25" customHeight="1">
      <c r="A439" s="14">
        <v>43980.0</v>
      </c>
      <c r="B439" s="7" t="s">
        <v>11</v>
      </c>
      <c r="C439" s="7">
        <v>31.0</v>
      </c>
      <c r="D439" s="7">
        <v>5751.0</v>
      </c>
      <c r="E439" s="7">
        <v>5319.0</v>
      </c>
    </row>
    <row r="440" ht="14.25" customHeight="1">
      <c r="A440" s="14">
        <v>43980.0</v>
      </c>
      <c r="B440" s="7" t="s">
        <v>17</v>
      </c>
      <c r="C440" s="7">
        <v>22.0</v>
      </c>
      <c r="D440" s="7">
        <v>2597.0</v>
      </c>
      <c r="E440" s="7">
        <v>2379.0</v>
      </c>
    </row>
    <row r="441" ht="14.25" customHeight="1">
      <c r="A441" s="14">
        <v>43980.0</v>
      </c>
      <c r="B441" s="7" t="s">
        <v>10</v>
      </c>
      <c r="C441" s="7">
        <v>20.0</v>
      </c>
      <c r="D441" s="7">
        <v>2111.0</v>
      </c>
      <c r="E441" s="7">
        <v>1917.0</v>
      </c>
    </row>
    <row r="442" ht="14.25" customHeight="1">
      <c r="A442" s="14">
        <v>43980.0</v>
      </c>
      <c r="B442" s="7" t="s">
        <v>20</v>
      </c>
      <c r="C442" s="7">
        <v>20.0</v>
      </c>
      <c r="D442" s="7">
        <v>2064.0</v>
      </c>
      <c r="E442" s="7">
        <v>1896.0</v>
      </c>
    </row>
    <row r="443" ht="14.25" customHeight="1">
      <c r="A443" s="14">
        <v>43980.0</v>
      </c>
      <c r="B443" s="7" t="s">
        <v>22</v>
      </c>
      <c r="C443" s="7">
        <v>54.0</v>
      </c>
      <c r="D443" s="7">
        <v>14031.0</v>
      </c>
      <c r="E443" s="7">
        <v>12943.0</v>
      </c>
    </row>
    <row r="444" ht="14.25" customHeight="1">
      <c r="A444" s="14">
        <v>43980.0</v>
      </c>
      <c r="B444" s="7" t="s">
        <v>21</v>
      </c>
      <c r="C444" s="7">
        <v>59.0</v>
      </c>
      <c r="D444" s="7">
        <v>14507.0</v>
      </c>
      <c r="E444" s="7">
        <v>13386.0</v>
      </c>
    </row>
    <row r="445" ht="14.25" customHeight="1">
      <c r="A445" s="14">
        <v>43980.0</v>
      </c>
      <c r="B445" s="7" t="s">
        <v>13</v>
      </c>
      <c r="C445" s="7">
        <v>20.0</v>
      </c>
      <c r="D445" s="7">
        <v>2249.0</v>
      </c>
      <c r="E445" s="7">
        <v>2000.0</v>
      </c>
    </row>
    <row r="446" ht="14.25" customHeight="1">
      <c r="A446" s="14">
        <v>43980.0</v>
      </c>
      <c r="B446" s="7" t="s">
        <v>23</v>
      </c>
      <c r="C446" s="7">
        <v>18.0</v>
      </c>
      <c r="D446" s="7">
        <v>1014.0</v>
      </c>
      <c r="E446" s="7">
        <v>893.0</v>
      </c>
    </row>
    <row r="447" ht="14.25" customHeight="1">
      <c r="A447" s="14">
        <v>43980.0</v>
      </c>
      <c r="B447" s="7" t="s">
        <v>18</v>
      </c>
      <c r="C447" s="7">
        <v>17.0</v>
      </c>
      <c r="D447" s="7">
        <v>1296.0</v>
      </c>
      <c r="E447" s="7">
        <v>1153.0</v>
      </c>
    </row>
    <row r="448" ht="14.25" customHeight="1">
      <c r="A448" s="14">
        <v>43980.0</v>
      </c>
      <c r="B448" s="7" t="s">
        <v>19</v>
      </c>
      <c r="C448" s="7">
        <v>16.0</v>
      </c>
      <c r="D448" s="7">
        <v>981.0</v>
      </c>
      <c r="E448" s="7">
        <v>859.0</v>
      </c>
    </row>
    <row r="449" ht="14.25" customHeight="1">
      <c r="A449" s="14">
        <v>43980.0</v>
      </c>
      <c r="B449" s="7" t="s">
        <v>9</v>
      </c>
      <c r="C449" s="7">
        <v>15.0</v>
      </c>
      <c r="D449" s="7">
        <v>400.0</v>
      </c>
      <c r="E449" s="7">
        <v>329.0</v>
      </c>
    </row>
    <row r="450" ht="14.25" customHeight="1">
      <c r="A450" s="14">
        <v>43980.0</v>
      </c>
      <c r="B450" s="7" t="s">
        <v>15</v>
      </c>
      <c r="C450" s="7">
        <v>124.0</v>
      </c>
      <c r="D450" s="7">
        <v>25828.0</v>
      </c>
      <c r="E450" s="7">
        <v>23974.0</v>
      </c>
    </row>
    <row r="451" ht="14.25" customHeight="1">
      <c r="A451" s="14">
        <v>43980.0</v>
      </c>
      <c r="B451" s="7" t="s">
        <v>14</v>
      </c>
      <c r="C451" s="7">
        <v>129.0</v>
      </c>
      <c r="D451" s="7">
        <v>22403.0</v>
      </c>
      <c r="E451" s="7">
        <v>20676.0</v>
      </c>
    </row>
    <row r="452" ht="14.25" customHeight="1">
      <c r="A452" s="14">
        <v>43980.0</v>
      </c>
      <c r="B452" s="7" t="s">
        <v>12</v>
      </c>
      <c r="C452" s="7">
        <v>10.0</v>
      </c>
      <c r="D452" s="7">
        <v>873.0</v>
      </c>
      <c r="E452" s="7">
        <v>770.0</v>
      </c>
    </row>
    <row r="453" ht="14.25" customHeight="1">
      <c r="A453" s="14">
        <v>43980.0</v>
      </c>
      <c r="B453" s="7" t="s">
        <v>24</v>
      </c>
      <c r="C453" s="7">
        <v>7.0</v>
      </c>
      <c r="D453" s="7">
        <v>491.0</v>
      </c>
      <c r="E453" s="7">
        <v>411.0</v>
      </c>
    </row>
    <row r="454" ht="14.25" customHeight="1">
      <c r="A454" s="14">
        <v>43981.0</v>
      </c>
      <c r="B454" s="7" t="s">
        <v>16</v>
      </c>
      <c r="C454" s="7">
        <v>37.0</v>
      </c>
      <c r="D454" s="7">
        <v>6645.0</v>
      </c>
      <c r="E454" s="7">
        <v>6122.0</v>
      </c>
    </row>
    <row r="455" ht="14.25" customHeight="1">
      <c r="A455" s="14">
        <v>43981.0</v>
      </c>
      <c r="B455" s="7" t="s">
        <v>11</v>
      </c>
      <c r="C455" s="7">
        <v>31.0</v>
      </c>
      <c r="D455" s="7">
        <v>6735.0</v>
      </c>
      <c r="E455" s="7">
        <v>6264.0</v>
      </c>
    </row>
    <row r="456" ht="14.25" customHeight="1">
      <c r="A456" s="14">
        <v>43981.0</v>
      </c>
      <c r="B456" s="7" t="s">
        <v>17</v>
      </c>
      <c r="C456" s="7">
        <v>22.0</v>
      </c>
      <c r="D456" s="7">
        <v>2793.0</v>
      </c>
      <c r="E456" s="7">
        <v>2539.0</v>
      </c>
    </row>
    <row r="457" ht="14.25" customHeight="1">
      <c r="A457" s="14">
        <v>43981.0</v>
      </c>
      <c r="B457" s="7" t="s">
        <v>10</v>
      </c>
      <c r="C457" s="7">
        <v>20.0</v>
      </c>
      <c r="D457" s="7">
        <v>2597.0</v>
      </c>
      <c r="E457" s="7">
        <v>2376.0</v>
      </c>
    </row>
    <row r="458" ht="14.25" customHeight="1">
      <c r="A458" s="14">
        <v>43981.0</v>
      </c>
      <c r="B458" s="7" t="s">
        <v>20</v>
      </c>
      <c r="C458" s="7">
        <v>20.0</v>
      </c>
      <c r="D458" s="7">
        <v>2174.0</v>
      </c>
      <c r="E458" s="7">
        <v>1957.0</v>
      </c>
    </row>
    <row r="459" ht="14.25" customHeight="1">
      <c r="A459" s="14">
        <v>43981.0</v>
      </c>
      <c r="B459" s="7" t="s">
        <v>22</v>
      </c>
      <c r="C459" s="7">
        <v>54.0</v>
      </c>
      <c r="D459" s="7">
        <v>14590.0</v>
      </c>
      <c r="E459" s="7">
        <v>13551.0</v>
      </c>
    </row>
    <row r="460" ht="14.25" customHeight="1">
      <c r="A460" s="14">
        <v>43981.0</v>
      </c>
      <c r="B460" s="7" t="s">
        <v>21</v>
      </c>
      <c r="C460" s="7">
        <v>59.0</v>
      </c>
      <c r="D460" s="7">
        <v>15030.0</v>
      </c>
      <c r="E460" s="7">
        <v>13956.0</v>
      </c>
    </row>
    <row r="461" ht="14.25" customHeight="1">
      <c r="A461" s="14">
        <v>43981.0</v>
      </c>
      <c r="B461" s="7" t="s">
        <v>13</v>
      </c>
      <c r="C461" s="7">
        <v>20.0</v>
      </c>
      <c r="D461" s="7">
        <v>2451.0</v>
      </c>
      <c r="E461" s="7">
        <v>2178.0</v>
      </c>
    </row>
    <row r="462" ht="14.25" customHeight="1">
      <c r="A462" s="14">
        <v>43981.0</v>
      </c>
      <c r="B462" s="7" t="s">
        <v>23</v>
      </c>
      <c r="C462" s="7">
        <v>18.0</v>
      </c>
      <c r="D462" s="7">
        <v>1216.0</v>
      </c>
      <c r="E462" s="7">
        <v>1101.0</v>
      </c>
    </row>
    <row r="463" ht="14.25" customHeight="1">
      <c r="A463" s="14">
        <v>43981.0</v>
      </c>
      <c r="B463" s="7" t="s">
        <v>18</v>
      </c>
      <c r="C463" s="7">
        <v>17.0</v>
      </c>
      <c r="D463" s="7">
        <v>1697.0</v>
      </c>
      <c r="E463" s="7">
        <v>1499.0</v>
      </c>
    </row>
    <row r="464" ht="14.25" customHeight="1">
      <c r="A464" s="14">
        <v>43981.0</v>
      </c>
      <c r="B464" s="7" t="s">
        <v>19</v>
      </c>
      <c r="C464" s="7">
        <v>16.0</v>
      </c>
      <c r="D464" s="7">
        <v>1048.0</v>
      </c>
      <c r="E464" s="7">
        <v>918.0</v>
      </c>
    </row>
    <row r="465" ht="14.25" customHeight="1">
      <c r="A465" s="14">
        <v>43981.0</v>
      </c>
      <c r="B465" s="7" t="s">
        <v>9</v>
      </c>
      <c r="C465" s="7">
        <v>15.0</v>
      </c>
      <c r="D465" s="7">
        <v>490.0</v>
      </c>
      <c r="E465" s="7">
        <v>409.0</v>
      </c>
    </row>
    <row r="466" ht="14.25" customHeight="1">
      <c r="A466" s="14">
        <v>43981.0</v>
      </c>
      <c r="B466" s="7" t="s">
        <v>15</v>
      </c>
      <c r="C466" s="7">
        <v>124.0</v>
      </c>
      <c r="D466" s="7">
        <v>24325.0</v>
      </c>
      <c r="E466" s="7">
        <v>22469.0</v>
      </c>
    </row>
    <row r="467" ht="14.25" customHeight="1">
      <c r="A467" s="14">
        <v>43981.0</v>
      </c>
      <c r="B467" s="7" t="s">
        <v>14</v>
      </c>
      <c r="C467" s="7">
        <v>129.0</v>
      </c>
      <c r="D467" s="7">
        <v>20243.0</v>
      </c>
      <c r="E467" s="7">
        <v>18711.0</v>
      </c>
    </row>
    <row r="468" ht="14.25" customHeight="1">
      <c r="A468" s="14">
        <v>43981.0</v>
      </c>
      <c r="B468" s="7" t="s">
        <v>12</v>
      </c>
      <c r="C468" s="7">
        <v>10.0</v>
      </c>
      <c r="D468" s="7">
        <v>865.0</v>
      </c>
      <c r="E468" s="7">
        <v>763.0</v>
      </c>
    </row>
    <row r="469" ht="14.25" customHeight="1">
      <c r="A469" s="14">
        <v>43981.0</v>
      </c>
      <c r="B469" s="7" t="s">
        <v>24</v>
      </c>
      <c r="C469" s="7">
        <v>7.0</v>
      </c>
      <c r="D469" s="7">
        <v>532.0</v>
      </c>
      <c r="E469" s="7">
        <v>449.0</v>
      </c>
    </row>
    <row r="470" ht="14.25" customHeight="1">
      <c r="A470" s="14">
        <v>43982.0</v>
      </c>
      <c r="B470" s="7" t="s">
        <v>16</v>
      </c>
      <c r="C470" s="7">
        <v>37.0</v>
      </c>
      <c r="D470" s="7">
        <v>5215.0</v>
      </c>
      <c r="E470" s="7">
        <v>4848.0</v>
      </c>
    </row>
    <row r="471" ht="14.25" customHeight="1">
      <c r="A471" s="14">
        <v>43982.0</v>
      </c>
      <c r="B471" s="7" t="s">
        <v>11</v>
      </c>
      <c r="C471" s="7">
        <v>31.0</v>
      </c>
      <c r="D471" s="7">
        <v>5760.0</v>
      </c>
      <c r="E471" s="7">
        <v>5367.0</v>
      </c>
    </row>
    <row r="472" ht="14.25" customHeight="1">
      <c r="A472" s="14">
        <v>43982.0</v>
      </c>
      <c r="B472" s="7" t="s">
        <v>17</v>
      </c>
      <c r="C472" s="7">
        <v>23.0</v>
      </c>
      <c r="D472" s="7">
        <v>2522.0</v>
      </c>
      <c r="E472" s="7">
        <v>2295.0</v>
      </c>
    </row>
    <row r="473" ht="14.25" customHeight="1">
      <c r="A473" s="14">
        <v>43982.0</v>
      </c>
      <c r="B473" s="7" t="s">
        <v>10</v>
      </c>
      <c r="C473" s="7">
        <v>21.0</v>
      </c>
      <c r="D473" s="7">
        <v>2271.0</v>
      </c>
      <c r="E473" s="7">
        <v>2085.0</v>
      </c>
    </row>
    <row r="474" ht="14.25" customHeight="1">
      <c r="A474" s="14">
        <v>43982.0</v>
      </c>
      <c r="B474" s="7" t="s">
        <v>20</v>
      </c>
      <c r="C474" s="7">
        <v>21.0</v>
      </c>
      <c r="D474" s="7">
        <v>2056.0</v>
      </c>
      <c r="E474" s="7">
        <v>1879.0</v>
      </c>
    </row>
    <row r="475" ht="14.25" customHeight="1">
      <c r="A475" s="14">
        <v>43982.0</v>
      </c>
      <c r="B475" s="7" t="s">
        <v>22</v>
      </c>
      <c r="C475" s="7">
        <v>54.0</v>
      </c>
      <c r="D475" s="7">
        <v>13106.0</v>
      </c>
      <c r="E475" s="7">
        <v>12164.0</v>
      </c>
    </row>
    <row r="476" ht="14.25" customHeight="1">
      <c r="A476" s="14">
        <v>43982.0</v>
      </c>
      <c r="B476" s="7" t="s">
        <v>21</v>
      </c>
      <c r="C476" s="7">
        <v>59.0</v>
      </c>
      <c r="D476" s="7">
        <v>13684.0</v>
      </c>
      <c r="E476" s="7">
        <v>12690.0</v>
      </c>
    </row>
    <row r="477" ht="14.25" customHeight="1">
      <c r="A477" s="14">
        <v>43982.0</v>
      </c>
      <c r="B477" s="7" t="s">
        <v>13</v>
      </c>
      <c r="C477" s="7">
        <v>20.0</v>
      </c>
      <c r="D477" s="7">
        <v>2060.0</v>
      </c>
      <c r="E477" s="7">
        <v>1826.0</v>
      </c>
    </row>
    <row r="478" ht="14.25" customHeight="1">
      <c r="A478" s="14">
        <v>43982.0</v>
      </c>
      <c r="B478" s="7" t="s">
        <v>23</v>
      </c>
      <c r="C478" s="7">
        <v>18.0</v>
      </c>
      <c r="D478" s="7">
        <v>1029.0</v>
      </c>
      <c r="E478" s="7">
        <v>925.0</v>
      </c>
    </row>
    <row r="479" ht="14.25" customHeight="1">
      <c r="A479" s="14">
        <v>43982.0</v>
      </c>
      <c r="B479" s="7" t="s">
        <v>18</v>
      </c>
      <c r="C479" s="7">
        <v>17.0</v>
      </c>
      <c r="D479" s="7">
        <v>1186.0</v>
      </c>
      <c r="E479" s="7">
        <v>1054.0</v>
      </c>
    </row>
    <row r="480" ht="14.25" customHeight="1">
      <c r="A480" s="14">
        <v>43982.0</v>
      </c>
      <c r="B480" s="7" t="s">
        <v>19</v>
      </c>
      <c r="C480" s="7">
        <v>16.0</v>
      </c>
      <c r="D480" s="7">
        <v>917.0</v>
      </c>
      <c r="E480" s="7">
        <v>802.0</v>
      </c>
    </row>
    <row r="481" ht="14.25" customHeight="1">
      <c r="A481" s="14">
        <v>43982.0</v>
      </c>
      <c r="B481" s="7" t="s">
        <v>9</v>
      </c>
      <c r="C481" s="7">
        <v>15.0</v>
      </c>
      <c r="D481" s="7">
        <v>441.0</v>
      </c>
      <c r="E481" s="7">
        <v>368.0</v>
      </c>
    </row>
    <row r="482" ht="14.25" customHeight="1">
      <c r="A482" s="14">
        <v>43982.0</v>
      </c>
      <c r="B482" s="7" t="s">
        <v>15</v>
      </c>
      <c r="C482" s="7">
        <v>124.0</v>
      </c>
      <c r="D482" s="7">
        <v>21392.0</v>
      </c>
      <c r="E482" s="7">
        <v>19869.0</v>
      </c>
    </row>
    <row r="483" ht="14.25" customHeight="1">
      <c r="A483" s="14">
        <v>43982.0</v>
      </c>
      <c r="B483" s="7" t="s">
        <v>14</v>
      </c>
      <c r="C483" s="7">
        <v>129.0</v>
      </c>
      <c r="D483" s="7">
        <v>17235.0</v>
      </c>
      <c r="E483" s="7">
        <v>16052.0</v>
      </c>
    </row>
    <row r="484" ht="14.25" customHeight="1">
      <c r="A484" s="14">
        <v>43982.0</v>
      </c>
      <c r="B484" s="7" t="s">
        <v>12</v>
      </c>
      <c r="C484" s="7">
        <v>10.0</v>
      </c>
      <c r="D484" s="7">
        <v>749.0</v>
      </c>
      <c r="E484" s="7">
        <v>655.0</v>
      </c>
    </row>
    <row r="485" ht="14.25" customHeight="1">
      <c r="A485" s="14">
        <v>43982.0</v>
      </c>
      <c r="B485" s="7" t="s">
        <v>25</v>
      </c>
      <c r="C485" s="7">
        <v>9.0</v>
      </c>
      <c r="D485" s="7">
        <v>345.0</v>
      </c>
      <c r="E485" s="7">
        <v>255.0</v>
      </c>
    </row>
    <row r="486" ht="14.25" customHeight="1">
      <c r="A486" s="14">
        <v>43982.0</v>
      </c>
      <c r="B486" s="7" t="s">
        <v>24</v>
      </c>
      <c r="C486" s="7">
        <v>7.0</v>
      </c>
      <c r="D486" s="7">
        <v>530.0</v>
      </c>
      <c r="E486" s="7">
        <v>447.0</v>
      </c>
    </row>
    <row r="487" ht="14.25" customHeight="1">
      <c r="A487" s="14">
        <v>43982.0</v>
      </c>
      <c r="B487" s="7" t="s">
        <v>26</v>
      </c>
      <c r="C487" s="7">
        <v>6.0</v>
      </c>
      <c r="D487" s="7">
        <v>261.0</v>
      </c>
      <c r="E487" s="7">
        <v>188.0</v>
      </c>
    </row>
    <row r="488" ht="14.25" customHeight="1">
      <c r="A488" s="14">
        <v>43983.0</v>
      </c>
      <c r="B488" s="7" t="s">
        <v>16</v>
      </c>
      <c r="C488" s="7">
        <v>37.0</v>
      </c>
      <c r="D488" s="7">
        <v>4722.0</v>
      </c>
      <c r="E488" s="7">
        <v>4352.0</v>
      </c>
    </row>
    <row r="489" ht="14.25" customHeight="1">
      <c r="A489" s="14">
        <v>43983.0</v>
      </c>
      <c r="B489" s="7" t="s">
        <v>11</v>
      </c>
      <c r="C489" s="7">
        <v>31.0</v>
      </c>
      <c r="D489" s="7">
        <v>5468.0</v>
      </c>
      <c r="E489" s="7">
        <v>5081.0</v>
      </c>
    </row>
    <row r="490" ht="14.25" customHeight="1">
      <c r="A490" s="14">
        <v>43983.0</v>
      </c>
      <c r="B490" s="7" t="s">
        <v>17</v>
      </c>
      <c r="C490" s="7">
        <v>23.0</v>
      </c>
      <c r="D490" s="7">
        <v>2531.0</v>
      </c>
      <c r="E490" s="7">
        <v>2296.0</v>
      </c>
    </row>
    <row r="491" ht="14.25" customHeight="1">
      <c r="A491" s="14">
        <v>43983.0</v>
      </c>
      <c r="B491" s="7" t="s">
        <v>10</v>
      </c>
      <c r="C491" s="7">
        <v>21.0</v>
      </c>
      <c r="D491" s="7">
        <v>2025.0</v>
      </c>
      <c r="E491" s="7">
        <v>1849.0</v>
      </c>
    </row>
    <row r="492" ht="14.25" customHeight="1">
      <c r="A492" s="14">
        <v>43983.0</v>
      </c>
      <c r="B492" s="7" t="s">
        <v>20</v>
      </c>
      <c r="C492" s="7">
        <v>21.0</v>
      </c>
      <c r="D492" s="7">
        <v>1879.0</v>
      </c>
      <c r="E492" s="7">
        <v>1720.0</v>
      </c>
    </row>
    <row r="493" ht="14.25" customHeight="1">
      <c r="A493" s="14">
        <v>43983.0</v>
      </c>
      <c r="B493" s="7" t="s">
        <v>22</v>
      </c>
      <c r="C493" s="7">
        <v>54.0</v>
      </c>
      <c r="D493" s="7">
        <v>11864.0</v>
      </c>
      <c r="E493" s="7">
        <v>11071.0</v>
      </c>
    </row>
    <row r="494" ht="14.25" customHeight="1">
      <c r="A494" s="14">
        <v>43983.0</v>
      </c>
      <c r="B494" s="7" t="s">
        <v>21</v>
      </c>
      <c r="C494" s="7">
        <v>59.0</v>
      </c>
      <c r="D494" s="7">
        <v>12299.0</v>
      </c>
      <c r="E494" s="7">
        <v>11448.0</v>
      </c>
    </row>
    <row r="495" ht="14.25" customHeight="1">
      <c r="A495" s="14">
        <v>43983.0</v>
      </c>
      <c r="B495" s="7" t="s">
        <v>13</v>
      </c>
      <c r="C495" s="7">
        <v>20.0</v>
      </c>
      <c r="D495" s="7">
        <v>2136.0</v>
      </c>
      <c r="E495" s="7">
        <v>1899.0</v>
      </c>
    </row>
    <row r="496" ht="14.25" customHeight="1">
      <c r="A496" s="14">
        <v>43983.0</v>
      </c>
      <c r="B496" s="7" t="s">
        <v>23</v>
      </c>
      <c r="C496" s="7">
        <v>18.0</v>
      </c>
      <c r="D496" s="7">
        <v>923.0</v>
      </c>
      <c r="E496" s="7">
        <v>824.0</v>
      </c>
    </row>
    <row r="497" ht="14.25" customHeight="1">
      <c r="A497" s="14">
        <v>43983.0</v>
      </c>
      <c r="B497" s="7" t="s">
        <v>18</v>
      </c>
      <c r="C497" s="7">
        <v>17.0</v>
      </c>
      <c r="D497" s="7">
        <v>1185.0</v>
      </c>
      <c r="E497" s="7">
        <v>1042.0</v>
      </c>
    </row>
    <row r="498" ht="14.25" customHeight="1">
      <c r="A498" s="14">
        <v>43983.0</v>
      </c>
      <c r="B498" s="7" t="s">
        <v>19</v>
      </c>
      <c r="C498" s="7">
        <v>16.0</v>
      </c>
      <c r="D498" s="7">
        <v>1019.0</v>
      </c>
      <c r="E498" s="7">
        <v>895.0</v>
      </c>
    </row>
    <row r="499" ht="14.25" customHeight="1">
      <c r="A499" s="14">
        <v>43983.0</v>
      </c>
      <c r="B499" s="7" t="s">
        <v>9</v>
      </c>
      <c r="C499" s="7">
        <v>15.0</v>
      </c>
      <c r="D499" s="7">
        <v>453.0</v>
      </c>
      <c r="E499" s="7">
        <v>370.0</v>
      </c>
    </row>
    <row r="500" ht="14.25" customHeight="1">
      <c r="A500" s="14">
        <v>43983.0</v>
      </c>
      <c r="B500" s="7" t="s">
        <v>15</v>
      </c>
      <c r="C500" s="7">
        <v>123.0</v>
      </c>
      <c r="D500" s="7">
        <v>20325.0</v>
      </c>
      <c r="E500" s="7">
        <v>18935.0</v>
      </c>
    </row>
    <row r="501" ht="14.25" customHeight="1">
      <c r="A501" s="14">
        <v>43983.0</v>
      </c>
      <c r="B501" s="7" t="s">
        <v>14</v>
      </c>
      <c r="C501" s="7">
        <v>128.0</v>
      </c>
      <c r="D501" s="7">
        <v>16285.0</v>
      </c>
      <c r="E501" s="7">
        <v>15130.0</v>
      </c>
    </row>
    <row r="502" ht="14.25" customHeight="1">
      <c r="A502" s="14">
        <v>43983.0</v>
      </c>
      <c r="B502" s="7" t="s">
        <v>12</v>
      </c>
      <c r="C502" s="7">
        <v>10.0</v>
      </c>
      <c r="D502" s="7">
        <v>719.0</v>
      </c>
      <c r="E502" s="7">
        <v>627.0</v>
      </c>
    </row>
    <row r="503" ht="14.25" customHeight="1">
      <c r="A503" s="14">
        <v>43983.0</v>
      </c>
      <c r="B503" s="7" t="s">
        <v>25</v>
      </c>
      <c r="C503" s="7">
        <v>9.0</v>
      </c>
      <c r="D503" s="7">
        <v>294.0</v>
      </c>
      <c r="E503" s="7">
        <v>224.0</v>
      </c>
    </row>
    <row r="504" ht="14.25" customHeight="1">
      <c r="A504" s="14">
        <v>43983.0</v>
      </c>
      <c r="B504" s="7" t="s">
        <v>24</v>
      </c>
      <c r="C504" s="7">
        <v>7.0</v>
      </c>
      <c r="D504" s="7">
        <v>500.0</v>
      </c>
      <c r="E504" s="7">
        <v>418.0</v>
      </c>
    </row>
    <row r="505" ht="14.25" customHeight="1">
      <c r="A505" s="14">
        <v>43983.0</v>
      </c>
      <c r="B505" s="7" t="s">
        <v>26</v>
      </c>
      <c r="C505" s="7">
        <v>6.0</v>
      </c>
      <c r="D505" s="7">
        <v>237.0</v>
      </c>
      <c r="E505" s="7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